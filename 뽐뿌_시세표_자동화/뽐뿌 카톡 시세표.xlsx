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richData/richValueRel.xml" ContentType="application/vnd.ms-excel.richvaluerel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PL_3\Desktop\"/>
    </mc:Choice>
  </mc:AlternateContent>
  <xr:revisionPtr revIDLastSave="0" documentId="13_ncr:1_{2BFAC07D-18F7-44C3-857F-EBC134B8C498}" xr6:coauthVersionLast="47" xr6:coauthVersionMax="47" xr10:uidLastSave="{00000000-0000-0000-0000-000000000000}"/>
  <bookViews>
    <workbookView xWindow="28680" yWindow="-120" windowWidth="29040" windowHeight="15840" tabRatio="601" xr2:uid="{00000000-000D-0000-FFFF-FFFF00000000}"/>
  </bookViews>
  <sheets>
    <sheet name="3사 통합" sheetId="1" r:id="rId1"/>
    <sheet name="폰스팟 인터넷 시세표" sheetId="14" r:id="rId2"/>
    <sheet name="ADMIN" sheetId="2" r:id="rId3"/>
    <sheet name="INDEX" sheetId="3" r:id="rId4"/>
    <sheet name="SKT" sheetId="8" r:id="rId5"/>
    <sheet name="KT" sheetId="5" r:id="rId6"/>
    <sheet name="U+" sheetId="9" r:id="rId7"/>
  </sheets>
  <definedNames>
    <definedName name="KT기변구매가">ADMIN!$F:$F</definedName>
    <definedName name="KT모델명">ADMIN!$D:$D</definedName>
    <definedName name="KT번이구매가">ADMIN!$E:$E</definedName>
    <definedName name="KT요금제">ADMIN!$H:$H</definedName>
    <definedName name="LG기변구매가">ADMIN!$V:$V</definedName>
    <definedName name="LG모델명">ADMIN!$T:$T</definedName>
    <definedName name="LG번이구매가">ADMIN!$U:$U</definedName>
    <definedName name="LG요금제">ADMIN!$X:$X</definedName>
    <definedName name="SKT기변구매가">ADMIN!$N:$N</definedName>
    <definedName name="SKT모델명">ADMIN!$L:$L</definedName>
    <definedName name="SKT번이구매가">ADMIN!$M:$M</definedName>
    <definedName name="SKT요금제">ADMIN!$P:$P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73" i="1" l="1"/>
  <c r="H73" i="1"/>
  <c r="M14" i="1"/>
  <c r="M13" i="1"/>
  <c r="X38" i="2"/>
  <c r="E26" i="1"/>
  <c r="D26" i="1"/>
  <c r="D25" i="1"/>
  <c r="E25" i="1"/>
  <c r="H28" i="1"/>
  <c r="I28" i="1"/>
  <c r="H26" i="1"/>
  <c r="I26" i="1"/>
  <c r="I25" i="1"/>
  <c r="H25" i="1"/>
  <c r="F26" i="1"/>
  <c r="G26" i="1"/>
  <c r="G25" i="1"/>
  <c r="F25" i="1"/>
  <c r="M16" i="1"/>
  <c r="M15" i="1"/>
  <c r="M12" i="1"/>
  <c r="M11" i="1"/>
  <c r="E48" i="1"/>
  <c r="E47" i="1"/>
  <c r="D48" i="1"/>
  <c r="D47" i="1"/>
  <c r="G70" i="1"/>
  <c r="G69" i="1"/>
  <c r="G68" i="1"/>
  <c r="G67" i="1"/>
  <c r="G66" i="1"/>
  <c r="G65" i="1"/>
  <c r="G64" i="1"/>
  <c r="G63" i="1"/>
  <c r="F70" i="1"/>
  <c r="F69" i="1"/>
  <c r="F68" i="1"/>
  <c r="F67" i="1"/>
  <c r="F66" i="1"/>
  <c r="F65" i="1"/>
  <c r="F64" i="1"/>
  <c r="F63" i="1"/>
  <c r="E74" i="1"/>
  <c r="E73" i="1"/>
  <c r="E60" i="1"/>
  <c r="E59" i="1"/>
  <c r="I60" i="1"/>
  <c r="I59" i="1"/>
  <c r="M71" i="1"/>
  <c r="M56" i="1"/>
  <c r="C5" i="1"/>
  <c r="M27" i="1"/>
  <c r="X94" i="2" l="1"/>
  <c r="X93" i="2"/>
  <c r="X92" i="2"/>
  <c r="X91" i="2"/>
  <c r="X90" i="2"/>
  <c r="X89" i="2"/>
  <c r="X88" i="2"/>
  <c r="X87" i="2"/>
  <c r="X86" i="2"/>
  <c r="X85" i="2"/>
  <c r="X84" i="2"/>
  <c r="X83" i="2"/>
  <c r="X82" i="2"/>
  <c r="X81" i="2"/>
  <c r="X80" i="2"/>
  <c r="X79" i="2"/>
  <c r="X78" i="2"/>
  <c r="X77" i="2"/>
  <c r="X76" i="2"/>
  <c r="X75" i="2"/>
  <c r="X74" i="2"/>
  <c r="X73" i="2"/>
  <c r="X72" i="2"/>
  <c r="X71" i="2"/>
  <c r="X70" i="2"/>
  <c r="X69" i="2"/>
  <c r="X68" i="2"/>
  <c r="X67" i="2"/>
  <c r="X66" i="2"/>
  <c r="X65" i="2"/>
  <c r="X64" i="2"/>
  <c r="X63" i="2"/>
  <c r="X62" i="2"/>
  <c r="X61" i="2"/>
  <c r="X60" i="2"/>
  <c r="X59" i="2"/>
  <c r="X58" i="2"/>
  <c r="X57" i="2"/>
  <c r="X56" i="2"/>
  <c r="X55" i="2"/>
  <c r="X54" i="2"/>
  <c r="X53" i="2"/>
  <c r="X52" i="2"/>
  <c r="X51" i="2"/>
  <c r="X50" i="2"/>
  <c r="X49" i="2"/>
  <c r="X48" i="2"/>
  <c r="X47" i="2"/>
  <c r="X46" i="2"/>
  <c r="X45" i="2"/>
  <c r="X44" i="2"/>
  <c r="X43" i="2"/>
  <c r="X42" i="2"/>
  <c r="X41" i="2"/>
  <c r="X40" i="2"/>
  <c r="X39" i="2"/>
  <c r="X37" i="2"/>
  <c r="X36" i="2"/>
  <c r="P94" i="2"/>
  <c r="P93" i="2"/>
  <c r="P92" i="2"/>
  <c r="P91" i="2"/>
  <c r="P90" i="2"/>
  <c r="P89" i="2"/>
  <c r="P88" i="2"/>
  <c r="P87" i="2"/>
  <c r="P86" i="2"/>
  <c r="P85" i="2"/>
  <c r="P84" i="2"/>
  <c r="P83" i="2"/>
  <c r="P82" i="2"/>
  <c r="P81" i="2"/>
  <c r="P80" i="2"/>
  <c r="P79" i="2"/>
  <c r="P78" i="2"/>
  <c r="P77" i="2"/>
  <c r="P76" i="2"/>
  <c r="P75" i="2"/>
  <c r="P74" i="2"/>
  <c r="P73" i="2"/>
  <c r="P72" i="2"/>
  <c r="P71" i="2"/>
  <c r="P70" i="2"/>
  <c r="P69" i="2"/>
  <c r="P68" i="2"/>
  <c r="P67" i="2"/>
  <c r="P66" i="2"/>
  <c r="P65" i="2"/>
  <c r="P64" i="2"/>
  <c r="P63" i="2"/>
  <c r="P62" i="2"/>
  <c r="P61" i="2"/>
  <c r="P60" i="2"/>
  <c r="P59" i="2"/>
  <c r="P58" i="2"/>
  <c r="P57" i="2"/>
  <c r="P56" i="2"/>
  <c r="P55" i="2"/>
  <c r="P54" i="2"/>
  <c r="P53" i="2"/>
  <c r="P52" i="2"/>
  <c r="P51" i="2"/>
  <c r="P50" i="2"/>
  <c r="P49" i="2"/>
  <c r="P48" i="2"/>
  <c r="P47" i="2"/>
  <c r="P46" i="2"/>
  <c r="P45" i="2"/>
  <c r="P44" i="2"/>
  <c r="P43" i="2"/>
  <c r="P32" i="2"/>
  <c r="P31" i="2"/>
  <c r="P30" i="2"/>
  <c r="P29" i="2"/>
  <c r="P28" i="2"/>
  <c r="P27" i="2"/>
  <c r="P26" i="2"/>
  <c r="P25" i="2"/>
  <c r="P24" i="2"/>
  <c r="P23" i="2"/>
  <c r="P22" i="2"/>
  <c r="P21" i="2"/>
  <c r="P20" i="2"/>
  <c r="P19" i="2"/>
  <c r="P18" i="2"/>
  <c r="P17" i="2"/>
  <c r="P16" i="2"/>
  <c r="P15" i="2"/>
  <c r="P14" i="2"/>
  <c r="P13" i="2"/>
  <c r="P12" i="2"/>
  <c r="P11" i="2"/>
  <c r="P10" i="2"/>
  <c r="P9" i="2"/>
  <c r="P8" i="2"/>
  <c r="P7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G49" i="1" s="1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I76" i="1"/>
  <c r="H76" i="1"/>
  <c r="G76" i="1"/>
  <c r="F76" i="1"/>
  <c r="E76" i="1"/>
  <c r="D76" i="1"/>
  <c r="I75" i="1"/>
  <c r="H75" i="1"/>
  <c r="G75" i="1"/>
  <c r="F75" i="1"/>
  <c r="E75" i="1"/>
  <c r="D75" i="1"/>
  <c r="D74" i="1"/>
  <c r="D73" i="1"/>
  <c r="I70" i="1"/>
  <c r="H70" i="1"/>
  <c r="E70" i="1"/>
  <c r="D70" i="1"/>
  <c r="I69" i="1"/>
  <c r="H69" i="1"/>
  <c r="E69" i="1"/>
  <c r="D69" i="1"/>
  <c r="I68" i="1"/>
  <c r="H68" i="1"/>
  <c r="E68" i="1"/>
  <c r="D68" i="1"/>
  <c r="I67" i="1"/>
  <c r="H67" i="1"/>
  <c r="E67" i="1"/>
  <c r="D67" i="1"/>
  <c r="I66" i="1"/>
  <c r="H66" i="1"/>
  <c r="E66" i="1"/>
  <c r="D66" i="1"/>
  <c r="I65" i="1"/>
  <c r="H65" i="1"/>
  <c r="E65" i="1"/>
  <c r="D65" i="1"/>
  <c r="I64" i="1"/>
  <c r="H64" i="1"/>
  <c r="E64" i="1"/>
  <c r="D64" i="1"/>
  <c r="I63" i="1"/>
  <c r="H63" i="1"/>
  <c r="E63" i="1"/>
  <c r="D63" i="1"/>
  <c r="I62" i="1"/>
  <c r="H62" i="1"/>
  <c r="E62" i="1"/>
  <c r="D62" i="1"/>
  <c r="I61" i="1"/>
  <c r="H61" i="1"/>
  <c r="E61" i="1"/>
  <c r="D61" i="1"/>
  <c r="H60" i="1"/>
  <c r="D60" i="1"/>
  <c r="H59" i="1"/>
  <c r="D59" i="1"/>
  <c r="I58" i="1"/>
  <c r="H58" i="1"/>
  <c r="I55" i="1"/>
  <c r="H55" i="1"/>
  <c r="I54" i="1"/>
  <c r="H54" i="1"/>
  <c r="I53" i="1"/>
  <c r="H53" i="1"/>
  <c r="I52" i="1"/>
  <c r="H52" i="1"/>
  <c r="I51" i="1"/>
  <c r="H51" i="1"/>
  <c r="I50" i="1"/>
  <c r="H50" i="1"/>
  <c r="G55" i="1"/>
  <c r="F55" i="1"/>
  <c r="G54" i="1"/>
  <c r="F54" i="1"/>
  <c r="G53" i="1"/>
  <c r="F53" i="1"/>
  <c r="G52" i="1"/>
  <c r="F52" i="1"/>
  <c r="G51" i="1"/>
  <c r="F51" i="1"/>
  <c r="G50" i="1"/>
  <c r="F50" i="1"/>
  <c r="E58" i="1"/>
  <c r="D58" i="1"/>
  <c r="E55" i="1"/>
  <c r="D55" i="1"/>
  <c r="E54" i="1"/>
  <c r="D54" i="1"/>
  <c r="E53" i="1"/>
  <c r="D53" i="1"/>
  <c r="E52" i="1"/>
  <c r="D52" i="1"/>
  <c r="E51" i="1"/>
  <c r="D51" i="1"/>
  <c r="E50" i="1"/>
  <c r="D50" i="1"/>
  <c r="E49" i="1"/>
  <c r="D49" i="1"/>
  <c r="I37" i="1"/>
  <c r="H37" i="1"/>
  <c r="I36" i="1"/>
  <c r="H36" i="1"/>
  <c r="I35" i="1"/>
  <c r="H35" i="1"/>
  <c r="I34" i="1"/>
  <c r="H34" i="1"/>
  <c r="I33" i="1"/>
  <c r="H33" i="1"/>
  <c r="I32" i="1"/>
  <c r="H32" i="1"/>
  <c r="I31" i="1"/>
  <c r="H31" i="1"/>
  <c r="I30" i="1"/>
  <c r="H30" i="1"/>
  <c r="I29" i="1"/>
  <c r="H29" i="1"/>
  <c r="G37" i="1"/>
  <c r="F37" i="1"/>
  <c r="G36" i="1"/>
  <c r="F36" i="1"/>
  <c r="G35" i="1"/>
  <c r="F35" i="1"/>
  <c r="G34" i="1"/>
  <c r="F34" i="1"/>
  <c r="G33" i="1"/>
  <c r="F33" i="1"/>
  <c r="G32" i="1"/>
  <c r="F32" i="1"/>
  <c r="G31" i="1"/>
  <c r="F31" i="1"/>
  <c r="G30" i="1"/>
  <c r="F30" i="1"/>
  <c r="G29" i="1"/>
  <c r="F29" i="1"/>
  <c r="E37" i="1"/>
  <c r="E36" i="1"/>
  <c r="E35" i="1"/>
  <c r="E34" i="1"/>
  <c r="E33" i="1"/>
  <c r="E32" i="1"/>
  <c r="E31" i="1"/>
  <c r="E30" i="1"/>
  <c r="E29" i="1"/>
  <c r="D37" i="1"/>
  <c r="D36" i="1"/>
  <c r="D35" i="1"/>
  <c r="D34" i="1"/>
  <c r="D33" i="1"/>
  <c r="D32" i="1"/>
  <c r="D31" i="1"/>
  <c r="D30" i="1"/>
  <c r="D29" i="1"/>
  <c r="M85" i="1"/>
  <c r="M84" i="1"/>
  <c r="M83" i="1"/>
  <c r="M82" i="1"/>
  <c r="M76" i="1"/>
  <c r="M75" i="1"/>
  <c r="M74" i="1"/>
  <c r="M73" i="1"/>
  <c r="M72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7" i="1"/>
  <c r="M36" i="1"/>
  <c r="M35" i="1"/>
  <c r="M34" i="1"/>
  <c r="M33" i="1"/>
  <c r="M32" i="1"/>
  <c r="M31" i="1"/>
  <c r="M30" i="1"/>
  <c r="M29" i="1"/>
  <c r="M28" i="1"/>
  <c r="M26" i="1"/>
  <c r="M25" i="1"/>
  <c r="M24" i="1"/>
  <c r="M23" i="1"/>
  <c r="M22" i="1"/>
  <c r="M21" i="1"/>
  <c r="M20" i="1"/>
  <c r="M19" i="1"/>
  <c r="M10" i="1"/>
  <c r="F59" i="1" l="1"/>
  <c r="I74" i="1"/>
  <c r="H74" i="1"/>
  <c r="F60" i="1"/>
  <c r="G28" i="1"/>
  <c r="F28" i="1"/>
  <c r="F73" i="1"/>
  <c r="E13" i="1"/>
  <c r="D13" i="1"/>
  <c r="D14" i="1"/>
  <c r="E14" i="1"/>
  <c r="G13" i="1"/>
  <c r="F13" i="1"/>
  <c r="F14" i="1"/>
  <c r="G14" i="1"/>
  <c r="I13" i="1"/>
  <c r="H13" i="1"/>
  <c r="H14" i="1"/>
  <c r="I14" i="1"/>
  <c r="F49" i="1"/>
  <c r="H27" i="1"/>
  <c r="I27" i="1"/>
  <c r="E27" i="1"/>
  <c r="D27" i="1"/>
  <c r="E28" i="1"/>
  <c r="D28" i="1"/>
  <c r="F27" i="1"/>
  <c r="G27" i="1"/>
  <c r="F58" i="1"/>
  <c r="G58" i="1"/>
  <c r="D21" i="1"/>
  <c r="D12" i="1"/>
  <c r="E21" i="1"/>
  <c r="E12" i="1"/>
  <c r="D41" i="1"/>
  <c r="E41" i="1"/>
  <c r="D45" i="1"/>
  <c r="E45" i="1"/>
  <c r="E19" i="1"/>
  <c r="D19" i="1"/>
  <c r="D22" i="1"/>
  <c r="E22" i="1"/>
  <c r="D15" i="1"/>
  <c r="E15" i="1"/>
  <c r="E42" i="1"/>
  <c r="D42" i="1"/>
  <c r="E46" i="1"/>
  <c r="D46" i="1"/>
  <c r="D11" i="1"/>
  <c r="E11" i="1"/>
  <c r="D20" i="1"/>
  <c r="E20" i="1"/>
  <c r="E23" i="1"/>
  <c r="D23" i="1"/>
  <c r="D39" i="1"/>
  <c r="E39" i="1"/>
  <c r="E43" i="1"/>
  <c r="D43" i="1"/>
  <c r="D24" i="1"/>
  <c r="E24" i="1"/>
  <c r="E40" i="1"/>
  <c r="D40" i="1"/>
  <c r="E44" i="1"/>
  <c r="D44" i="1"/>
  <c r="I21" i="1"/>
  <c r="H21" i="1"/>
  <c r="I12" i="1"/>
  <c r="H12" i="1"/>
  <c r="H41" i="1"/>
  <c r="I41" i="1"/>
  <c r="I49" i="1"/>
  <c r="H45" i="1"/>
  <c r="I45" i="1"/>
  <c r="I19" i="1"/>
  <c r="H19" i="1"/>
  <c r="I22" i="1"/>
  <c r="I15" i="1"/>
  <c r="H22" i="1"/>
  <c r="H15" i="1"/>
  <c r="I42" i="1"/>
  <c r="H42" i="1"/>
  <c r="I46" i="1"/>
  <c r="H46" i="1"/>
  <c r="I20" i="1"/>
  <c r="H20" i="1"/>
  <c r="H11" i="1"/>
  <c r="I11" i="1"/>
  <c r="I23" i="1"/>
  <c r="H23" i="1"/>
  <c r="H39" i="1"/>
  <c r="I39" i="1"/>
  <c r="I43" i="1"/>
  <c r="H43" i="1"/>
  <c r="I47" i="1"/>
  <c r="H47" i="1"/>
  <c r="I24" i="1"/>
  <c r="H24" i="1"/>
  <c r="I40" i="1"/>
  <c r="H40" i="1"/>
  <c r="I44" i="1"/>
  <c r="H44" i="1"/>
  <c r="I48" i="1"/>
  <c r="H48" i="1"/>
  <c r="G20" i="1"/>
  <c r="F20" i="1"/>
  <c r="F11" i="1"/>
  <c r="G11" i="1"/>
  <c r="G41" i="1"/>
  <c r="F41" i="1"/>
  <c r="G45" i="1"/>
  <c r="F45" i="1"/>
  <c r="G24" i="1"/>
  <c r="F24" i="1"/>
  <c r="G22" i="1"/>
  <c r="F22" i="1"/>
  <c r="F15" i="1"/>
  <c r="G15" i="1"/>
  <c r="G42" i="1"/>
  <c r="F42" i="1"/>
  <c r="G46" i="1"/>
  <c r="F46" i="1"/>
  <c r="F39" i="1"/>
  <c r="G39" i="1"/>
  <c r="F43" i="1"/>
  <c r="G43" i="1"/>
  <c r="F47" i="1"/>
  <c r="G47" i="1"/>
  <c r="G19" i="1"/>
  <c r="F19" i="1"/>
  <c r="G12" i="1"/>
  <c r="G21" i="1"/>
  <c r="F21" i="1"/>
  <c r="F12" i="1"/>
  <c r="G23" i="1"/>
  <c r="F23" i="1"/>
  <c r="G40" i="1"/>
  <c r="F40" i="1"/>
  <c r="G44" i="1"/>
  <c r="F44" i="1"/>
  <c r="G48" i="1"/>
  <c r="F48" i="1"/>
  <c r="G61" i="1"/>
  <c r="F61" i="1"/>
  <c r="G62" i="1"/>
  <c r="F62" i="1"/>
  <c r="G73" i="1"/>
  <c r="G60" i="1"/>
  <c r="G59" i="1"/>
  <c r="H49" i="1"/>
  <c r="H10" i="1" l="1"/>
  <c r="I10" i="1"/>
  <c r="F191" i="3"/>
  <c r="F192" i="3"/>
  <c r="F193" i="3"/>
  <c r="F190" i="3"/>
  <c r="F189" i="3"/>
  <c r="F188" i="3"/>
  <c r="F187" i="3"/>
  <c r="F186" i="3"/>
  <c r="F185" i="3"/>
  <c r="F184" i="3"/>
  <c r="F183" i="3"/>
  <c r="F182" i="3"/>
  <c r="F181" i="3"/>
  <c r="F180" i="3"/>
  <c r="F179" i="3"/>
  <c r="F178" i="3"/>
  <c r="F177" i="3"/>
  <c r="F176" i="3"/>
  <c r="F175" i="3"/>
  <c r="F174" i="3"/>
  <c r="F173" i="3"/>
  <c r="F172" i="3"/>
  <c r="F171" i="3"/>
  <c r="F170" i="3"/>
  <c r="F169" i="3"/>
  <c r="F168" i="3"/>
  <c r="F167" i="3"/>
  <c r="F166" i="3"/>
  <c r="F165" i="3"/>
  <c r="F164" i="3"/>
  <c r="F163" i="3"/>
  <c r="F160" i="3"/>
  <c r="F161" i="3"/>
  <c r="F162" i="3"/>
  <c r="B3" i="9"/>
  <c r="J2" i="9"/>
  <c r="B3" i="5"/>
  <c r="L2" i="5"/>
  <c r="B3" i="8"/>
  <c r="L2" i="8"/>
  <c r="H6" i="2" l="1"/>
  <c r="F10" i="1" s="1"/>
  <c r="P6" i="2"/>
  <c r="F243" i="3"/>
  <c r="F242" i="3"/>
  <c r="F241" i="3"/>
  <c r="F240" i="3"/>
  <c r="F239" i="3"/>
  <c r="F238" i="3"/>
  <c r="F237" i="3"/>
  <c r="F236" i="3"/>
  <c r="F235" i="3"/>
  <c r="F234" i="3"/>
  <c r="F233" i="3"/>
  <c r="F232" i="3"/>
  <c r="F231" i="3"/>
  <c r="F230" i="3"/>
  <c r="F229" i="3"/>
  <c r="F228" i="3"/>
  <c r="F227" i="3"/>
  <c r="F226" i="3"/>
  <c r="F225" i="3"/>
  <c r="F224" i="3"/>
  <c r="F223" i="3"/>
  <c r="F222" i="3"/>
  <c r="F221" i="3"/>
  <c r="F220" i="3"/>
  <c r="F219" i="3"/>
  <c r="F218" i="3"/>
  <c r="F217" i="3"/>
  <c r="F216" i="3"/>
  <c r="F215" i="3"/>
  <c r="F214" i="3"/>
  <c r="F213" i="3"/>
  <c r="F212" i="3"/>
  <c r="F211" i="3"/>
  <c r="F210" i="3"/>
  <c r="F209" i="3"/>
  <c r="F208" i="3"/>
  <c r="F207" i="3"/>
  <c r="F206" i="3"/>
  <c r="F205" i="3"/>
  <c r="F204" i="3"/>
  <c r="F203" i="3"/>
  <c r="F202" i="3"/>
  <c r="F201" i="3"/>
  <c r="F200" i="3"/>
  <c r="F199" i="3"/>
  <c r="F198" i="3"/>
  <c r="F197" i="3"/>
  <c r="F196" i="3"/>
  <c r="F195" i="3"/>
  <c r="F194" i="3"/>
  <c r="F159" i="3"/>
  <c r="F158" i="3"/>
  <c r="F157" i="3"/>
  <c r="F156" i="3"/>
  <c r="F155" i="3"/>
  <c r="F154" i="3"/>
  <c r="F153" i="3"/>
  <c r="F152" i="3"/>
  <c r="F151" i="3"/>
  <c r="F150" i="3"/>
  <c r="F149" i="3"/>
  <c r="F148" i="3"/>
  <c r="F147" i="3"/>
  <c r="F146" i="3"/>
  <c r="F145" i="3"/>
  <c r="F144" i="3"/>
  <c r="F143" i="3"/>
  <c r="F142" i="3"/>
  <c r="F141" i="3"/>
  <c r="F140" i="3"/>
  <c r="F139" i="3"/>
  <c r="F138" i="3"/>
  <c r="F137" i="3"/>
  <c r="F136" i="3"/>
  <c r="F135" i="3"/>
  <c r="F134" i="3"/>
  <c r="F133" i="3"/>
  <c r="F132" i="3"/>
  <c r="F131" i="3"/>
  <c r="F130" i="3"/>
  <c r="F129" i="3"/>
  <c r="F128" i="3"/>
  <c r="F127" i="3"/>
  <c r="F126" i="3"/>
  <c r="F125" i="3"/>
  <c r="F124" i="3"/>
  <c r="F123" i="3"/>
  <c r="F122" i="3"/>
  <c r="F121" i="3"/>
  <c r="F120" i="3"/>
  <c r="F119" i="3"/>
  <c r="F118" i="3"/>
  <c r="F117" i="3"/>
  <c r="F116" i="3"/>
  <c r="F115" i="3"/>
  <c r="F114" i="3"/>
  <c r="F113" i="3"/>
  <c r="F112" i="3"/>
  <c r="F111" i="3"/>
  <c r="F110" i="3"/>
  <c r="F109" i="3"/>
  <c r="F108" i="3"/>
  <c r="F107" i="3"/>
  <c r="F106" i="3"/>
  <c r="F105" i="3"/>
  <c r="F104" i="3"/>
  <c r="F103" i="3"/>
  <c r="F102" i="3"/>
  <c r="F101" i="3"/>
  <c r="F100" i="3"/>
  <c r="F99" i="3"/>
  <c r="F98" i="3"/>
  <c r="F97" i="3"/>
  <c r="F96" i="3"/>
  <c r="F95" i="3"/>
  <c r="F94" i="3"/>
  <c r="F93" i="3"/>
  <c r="F92" i="3"/>
  <c r="F91" i="3"/>
  <c r="F90" i="3"/>
  <c r="F89" i="3"/>
  <c r="F88" i="3"/>
  <c r="F87" i="3"/>
  <c r="F86" i="3"/>
  <c r="F85" i="3"/>
  <c r="F84" i="3"/>
  <c r="F83" i="3"/>
  <c r="F82" i="3"/>
  <c r="F81" i="3"/>
  <c r="F80" i="3"/>
  <c r="F79" i="3"/>
  <c r="F78" i="3"/>
  <c r="F77" i="3"/>
  <c r="F76" i="3"/>
  <c r="F75" i="3"/>
  <c r="F74" i="3"/>
  <c r="F73" i="3"/>
  <c r="F72" i="3"/>
  <c r="F71" i="3"/>
  <c r="F70" i="3"/>
  <c r="F69" i="3"/>
  <c r="F68" i="3"/>
  <c r="F67" i="3"/>
  <c r="F66" i="3"/>
  <c r="F65" i="3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D10" i="1" l="1"/>
  <c r="E10" i="1"/>
  <c r="G10" i="1"/>
  <c r="Q85" i="1" a="1"/>
  <c r="R85" i="1" a="1"/>
  <c r="R73" i="1" a="1"/>
  <c r="Q73" i="1" a="1"/>
  <c r="R70" i="1" a="1"/>
  <c r="Q70" i="1" a="1"/>
  <c r="Q58" i="1" a="1"/>
  <c r="S70" i="1" a="1"/>
  <c r="S59" i="1" a="1"/>
  <c r="S58" i="1" a="1"/>
  <c r="T59" i="1" a="1"/>
  <c r="T70" i="1" a="1"/>
  <c r="T58" i="1" a="1"/>
  <c r="P59" i="1" a="1"/>
  <c r="O59" i="1" a="1"/>
  <c r="P70" i="1" a="1"/>
  <c r="P58" i="1" a="1"/>
  <c r="O70" i="1" a="1"/>
  <c r="O58" i="1" a="1"/>
  <c r="D21" i="9" a="1"/>
  <c r="F34" i="9" a="1"/>
  <c r="F31" i="9" a="1"/>
  <c r="F28" i="9" a="1"/>
  <c r="F25" i="9" a="1"/>
  <c r="F22" i="9" a="1"/>
  <c r="E34" i="9" a="1"/>
  <c r="E31" i="9" a="1"/>
  <c r="E28" i="9" a="1"/>
  <c r="E25" i="9" a="1"/>
  <c r="E22" i="9" a="1"/>
  <c r="D34" i="9" a="1"/>
  <c r="D31" i="9" a="1"/>
  <c r="D28" i="9" a="1"/>
  <c r="D25" i="9" a="1"/>
  <c r="D22" i="9" a="1"/>
  <c r="G36" i="9" a="1"/>
  <c r="G33" i="9" a="1"/>
  <c r="G30" i="9" a="1"/>
  <c r="G27" i="9" a="1"/>
  <c r="G24" i="9" a="1"/>
  <c r="G21" i="9" a="1"/>
  <c r="F36" i="9" a="1"/>
  <c r="F33" i="9" a="1"/>
  <c r="F30" i="9" a="1"/>
  <c r="F27" i="9" a="1"/>
  <c r="F24" i="9" a="1"/>
  <c r="F21" i="9" a="1"/>
  <c r="E36" i="9" a="1"/>
  <c r="E33" i="9" a="1"/>
  <c r="E30" i="9" a="1"/>
  <c r="E27" i="9" a="1"/>
  <c r="E24" i="9" a="1"/>
  <c r="E21" i="9" a="1"/>
  <c r="D36" i="9" a="1"/>
  <c r="D33" i="9" a="1"/>
  <c r="D30" i="9" a="1"/>
  <c r="D27" i="9" a="1"/>
  <c r="D24" i="9" a="1"/>
  <c r="G35" i="9" a="1"/>
  <c r="G32" i="9" a="1"/>
  <c r="G29" i="9" a="1"/>
  <c r="G26" i="9" a="1"/>
  <c r="G23" i="9" a="1"/>
  <c r="F35" i="9" a="1"/>
  <c r="F32" i="9" a="1"/>
  <c r="F29" i="9" a="1"/>
  <c r="F26" i="9" a="1"/>
  <c r="F23" i="9" a="1"/>
  <c r="E35" i="9" a="1"/>
  <c r="E32" i="9" a="1"/>
  <c r="E29" i="9" a="1"/>
  <c r="E26" i="9" a="1"/>
  <c r="E23" i="9" a="1"/>
  <c r="D35" i="9" a="1"/>
  <c r="D32" i="9" a="1"/>
  <c r="D29" i="9" a="1"/>
  <c r="D26" i="9" a="1"/>
  <c r="D23" i="9" a="1"/>
  <c r="G34" i="9" a="1"/>
  <c r="G31" i="9" a="1"/>
  <c r="G28" i="9" a="1"/>
  <c r="G25" i="9" a="1"/>
  <c r="G22" i="9" a="1"/>
  <c r="G39" i="9" a="1"/>
  <c r="F33" i="8" a="1"/>
  <c r="F31" i="8" a="1"/>
  <c r="F29" i="8" a="1"/>
  <c r="F27" i="8" a="1"/>
  <c r="F25" i="8" a="1"/>
  <c r="F23" i="8" a="1"/>
  <c r="D36" i="5" a="1"/>
  <c r="E33" i="8" a="1"/>
  <c r="E31" i="8" a="1"/>
  <c r="E29" i="8" a="1"/>
  <c r="E27" i="8" a="1"/>
  <c r="E25" i="8" a="1"/>
  <c r="E23" i="8" a="1"/>
  <c r="B36" i="5" a="1"/>
  <c r="D33" i="8" a="1"/>
  <c r="D31" i="8" a="1"/>
  <c r="D29" i="8" a="1"/>
  <c r="D27" i="8" a="1"/>
  <c r="D25" i="8" a="1"/>
  <c r="D23" i="8" a="1"/>
  <c r="I34" i="8" a="1"/>
  <c r="I32" i="8" a="1"/>
  <c r="I30" i="8" a="1"/>
  <c r="I28" i="8" a="1"/>
  <c r="I26" i="8" a="1"/>
  <c r="I24" i="8" a="1"/>
  <c r="D39" i="9" a="1"/>
  <c r="H34" i="8" a="1"/>
  <c r="H32" i="8" a="1"/>
  <c r="H30" i="8" a="1"/>
  <c r="H28" i="8" a="1"/>
  <c r="H26" i="8" a="1"/>
  <c r="H24" i="8" a="1"/>
  <c r="B39" i="9" a="1"/>
  <c r="G34" i="8" a="1"/>
  <c r="G32" i="8" a="1"/>
  <c r="G30" i="8" a="1"/>
  <c r="G28" i="8" a="1"/>
  <c r="G26" i="8" a="1"/>
  <c r="G24" i="8" a="1"/>
  <c r="F34" i="8" a="1"/>
  <c r="F32" i="8" a="1"/>
  <c r="F30" i="8" a="1"/>
  <c r="F28" i="8" a="1"/>
  <c r="F26" i="8" a="1"/>
  <c r="F24" i="8" a="1"/>
  <c r="E34" i="8" a="1"/>
  <c r="E32" i="8" a="1"/>
  <c r="E30" i="8" a="1"/>
  <c r="E28" i="8" a="1"/>
  <c r="E26" i="8" a="1"/>
  <c r="E24" i="8" a="1"/>
  <c r="D37" i="8" a="1"/>
  <c r="D34" i="8" a="1"/>
  <c r="D32" i="8" a="1"/>
  <c r="D30" i="8" a="1"/>
  <c r="D28" i="8" a="1"/>
  <c r="D26" i="8" a="1"/>
  <c r="D24" i="8" a="1"/>
  <c r="B37" i="8" a="1"/>
  <c r="I33" i="8" a="1"/>
  <c r="I31" i="8" a="1"/>
  <c r="I29" i="8" a="1"/>
  <c r="I27" i="8" a="1"/>
  <c r="I25" i="8" a="1"/>
  <c r="I23" i="8" a="1"/>
  <c r="H33" i="8" a="1"/>
  <c r="H31" i="8" a="1"/>
  <c r="H29" i="8" a="1"/>
  <c r="H27" i="8" a="1"/>
  <c r="H25" i="8" a="1"/>
  <c r="H23" i="8" a="1"/>
  <c r="G33" i="8" a="1"/>
  <c r="G31" i="8" a="1"/>
  <c r="G29" i="8" a="1"/>
  <c r="G27" i="8" a="1"/>
  <c r="G25" i="8" a="1"/>
  <c r="G23" i="8" a="1"/>
  <c r="E32" i="5" a="1"/>
  <c r="E30" i="5" a="1"/>
  <c r="E28" i="5" a="1"/>
  <c r="E26" i="5" a="1"/>
  <c r="D32" i="5" a="1"/>
  <c r="D30" i="5" a="1"/>
  <c r="D28" i="5" a="1"/>
  <c r="D26" i="5" a="1"/>
  <c r="I33" i="5" a="1"/>
  <c r="I31" i="5" a="1"/>
  <c r="I29" i="5" a="1"/>
  <c r="I27" i="5" a="1"/>
  <c r="I25" i="5" a="1"/>
  <c r="H33" i="5" a="1"/>
  <c r="H31" i="5" a="1"/>
  <c r="H29" i="5" a="1"/>
  <c r="H27" i="5" a="1"/>
  <c r="H25" i="5" a="1"/>
  <c r="G33" i="5" a="1"/>
  <c r="G31" i="5" a="1"/>
  <c r="G29" i="5" a="1"/>
  <c r="G27" i="5" a="1"/>
  <c r="G25" i="5" a="1"/>
  <c r="F33" i="5" a="1"/>
  <c r="F31" i="5" a="1"/>
  <c r="F29" i="5" a="1"/>
  <c r="F27" i="5" a="1"/>
  <c r="F25" i="5" a="1"/>
  <c r="E33" i="5" a="1"/>
  <c r="E31" i="5" a="1"/>
  <c r="E29" i="5" a="1"/>
  <c r="E27" i="5" a="1"/>
  <c r="E25" i="5" a="1"/>
  <c r="D33" i="5" a="1"/>
  <c r="D31" i="5" a="1"/>
  <c r="D29" i="5" a="1"/>
  <c r="D27" i="5" a="1"/>
  <c r="D25" i="5" a="1"/>
  <c r="I32" i="5" a="1"/>
  <c r="I30" i="5" a="1"/>
  <c r="I28" i="5" a="1"/>
  <c r="I26" i="5" a="1"/>
  <c r="H32" i="5" a="1"/>
  <c r="H30" i="5" a="1"/>
  <c r="H28" i="5" a="1"/>
  <c r="H26" i="5" a="1"/>
  <c r="G32" i="5" a="1"/>
  <c r="G30" i="5" a="1"/>
  <c r="G28" i="5" a="1"/>
  <c r="G26" i="5" a="1"/>
  <c r="F32" i="5" a="1"/>
  <c r="F30" i="5" a="1"/>
  <c r="F28" i="5" a="1"/>
  <c r="F26" i="5" a="1"/>
  <c r="H36" i="5" l="1" a="1"/>
  <c r="G36" i="5" a="1"/>
  <c r="F39" i="9" a="1"/>
  <c r="E39" i="9" a="1"/>
  <c r="H37" i="8" a="1"/>
  <c r="G37" i="8" a="1"/>
  <c r="F37" i="8" a="1"/>
  <c r="E37" i="8" a="1"/>
  <c r="F36" i="5" a="1"/>
  <c r="E36" i="5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<sst xmlns="http://schemas.openxmlformats.org/spreadsheetml/2006/main" count="1093" uniqueCount="369">
  <si>
    <t>SKT</t>
  </si>
  <si>
    <t>KT</t>
  </si>
  <si>
    <t>요금제</t>
  </si>
  <si>
    <t>요금제</t>
    <phoneticPr fontId="1" type="noConversion"/>
  </si>
  <si>
    <t>번이</t>
  </si>
  <si>
    <t>번이</t>
    <phoneticPr fontId="1" type="noConversion"/>
  </si>
  <si>
    <t>기변</t>
  </si>
  <si>
    <t>기변</t>
    <phoneticPr fontId="1" type="noConversion"/>
  </si>
  <si>
    <t>LG U+</t>
    <phoneticPr fontId="2" type="noConversion"/>
  </si>
  <si>
    <t>SKT</t>
    <phoneticPr fontId="2" type="noConversion"/>
  </si>
  <si>
    <t>KT</t>
    <phoneticPr fontId="2" type="noConversion"/>
  </si>
  <si>
    <t>통신사</t>
  </si>
  <si>
    <t>모델명</t>
  </si>
  <si>
    <t>내방</t>
  </si>
  <si>
    <t>5G 초이스 베이직 (초이스선택가능)</t>
  </si>
  <si>
    <t>갤럭시S25</t>
  </si>
  <si>
    <t>갤럭시S25+</t>
  </si>
  <si>
    <t>갤럭시S25울트라</t>
  </si>
  <si>
    <t>5G 초이스 스페셜 (초이스선택가능)</t>
  </si>
  <si>
    <t>갤럭시 Z 플립6</t>
  </si>
  <si>
    <t>갤럭시 Z 폴드6</t>
  </si>
  <si>
    <t>갤럭시Z폴드5</t>
  </si>
  <si>
    <t>갤럭시Z플립5</t>
  </si>
  <si>
    <t>갤럭시S24</t>
  </si>
  <si>
    <t>갤럭시S24+</t>
  </si>
  <si>
    <t>갤럭시S24울트라</t>
  </si>
  <si>
    <t>5G심플110GB</t>
  </si>
  <si>
    <t>갤럭시S23+</t>
  </si>
  <si>
    <t>갤럭시S23울트라</t>
  </si>
  <si>
    <t>갤럭시S24FE</t>
  </si>
  <si>
    <t>아이폰16_128G</t>
  </si>
  <si>
    <t>아이폰16_256G</t>
  </si>
  <si>
    <t>아이폰16플러스_128G</t>
  </si>
  <si>
    <t>아이폰16플러스_256G</t>
  </si>
  <si>
    <t>아이폰16프로_128G</t>
  </si>
  <si>
    <t>아이폰16프로_256G</t>
  </si>
  <si>
    <t>아이폰16프로맥스_256G</t>
  </si>
  <si>
    <t>갤럭시A16</t>
  </si>
  <si>
    <t>KT ADMIN 구매가</t>
    <phoneticPr fontId="1" type="noConversion"/>
  </si>
  <si>
    <t>5GX 프리미엄</t>
  </si>
  <si>
    <t>갤럭시S25엣지</t>
  </si>
  <si>
    <t>T플랜 세이브</t>
  </si>
  <si>
    <t>아이폰16E_128G</t>
  </si>
  <si>
    <t>아이폰16E_256G</t>
  </si>
  <si>
    <t>아이폰16E_512G</t>
  </si>
  <si>
    <t>5GX프라임</t>
  </si>
  <si>
    <t>SKT 구매가</t>
    <phoneticPr fontId="1" type="noConversion"/>
  </si>
  <si>
    <t>LG</t>
  </si>
  <si>
    <t>LTE 키즈 29</t>
  </si>
  <si>
    <t>U+키즈폰무너에디션</t>
  </si>
  <si>
    <t>LG U+ 구매가</t>
    <phoneticPr fontId="1" type="noConversion"/>
  </si>
  <si>
    <t>KT 요금제</t>
    <phoneticPr fontId="1" type="noConversion"/>
  </si>
  <si>
    <t>SKT 요금제</t>
    <phoneticPr fontId="1" type="noConversion"/>
  </si>
  <si>
    <t>LG 요금제</t>
    <phoneticPr fontId="1" type="noConversion"/>
  </si>
  <si>
    <t>요금제</t>
    <phoneticPr fontId="1" type="noConversion"/>
  </si>
  <si>
    <t>■ 어드민에서 구매가 붙여넣을 때, 노란색 색칠된 부분에 붙여넣기</t>
    <phoneticPr fontId="1" type="noConversion"/>
  </si>
  <si>
    <t>모델명(KT,SKT,LG순)</t>
    <phoneticPr fontId="1" type="noConversion"/>
  </si>
  <si>
    <t>5G 프리미어 슈퍼</t>
  </si>
  <si>
    <t>요금제 매칭용</t>
    <phoneticPr fontId="1" type="noConversion"/>
  </si>
  <si>
    <t>수정 절대 금지</t>
    <phoneticPr fontId="1" type="noConversion"/>
  </si>
  <si>
    <t>쓸 필요 없음</t>
    <phoneticPr fontId="1" type="noConversion"/>
  </si>
  <si>
    <t>수정 절대 금지</t>
    <phoneticPr fontId="1" type="noConversion"/>
  </si>
  <si>
    <t>5G 초이스 스페셜</t>
  </si>
  <si>
    <t>5GX 프리미엄</t>
    <phoneticPr fontId="1" type="noConversion"/>
  </si>
  <si>
    <t>유지기간</t>
    <phoneticPr fontId="1" type="noConversion"/>
  </si>
  <si>
    <t>혜택</t>
    <phoneticPr fontId="1" type="noConversion"/>
  </si>
  <si>
    <t>월 요금</t>
    <phoneticPr fontId="1" type="noConversion"/>
  </si>
  <si>
    <t>이용량</t>
    <phoneticPr fontId="1" type="noConversion"/>
  </si>
  <si>
    <t>넷플릭스, 디즈니+
YouTube 프리미엄 할인 등 택 1</t>
    <phoneticPr fontId="1" type="noConversion"/>
  </si>
  <si>
    <t>5GX 프라임</t>
    <phoneticPr fontId="1" type="noConversion"/>
  </si>
  <si>
    <t>185일</t>
    <phoneticPr fontId="1" type="noConversion"/>
  </si>
  <si>
    <t>T플랜 세이브</t>
    <phoneticPr fontId="1" type="noConversion"/>
  </si>
  <si>
    <t>5G 초이스 스페셜</t>
    <phoneticPr fontId="1" type="noConversion"/>
  </si>
  <si>
    <t>5G 초이스 베이직</t>
    <phoneticPr fontId="1" type="noConversion"/>
  </si>
  <si>
    <t>5G 심플 110GB</t>
    <phoneticPr fontId="1" type="noConversion"/>
  </si>
  <si>
    <t>Y덤 기본 데이터 2배 제공
만 34세 이하</t>
    <phoneticPr fontId="1" type="noConversion"/>
  </si>
  <si>
    <t>마이스마트콜3</t>
    <phoneticPr fontId="1" type="noConversion"/>
  </si>
  <si>
    <t>95일 이상</t>
  </si>
  <si>
    <t>95일 이상</t>
    <phoneticPr fontId="1" type="noConversion"/>
  </si>
  <si>
    <t>놓친 전화 안내 / 컬러링 / 통화 가능 통보 등</t>
    <phoneticPr fontId="1" type="noConversion"/>
  </si>
  <si>
    <t>M+3개월</t>
  </si>
  <si>
    <t>M+3개월</t>
    <phoneticPr fontId="1" type="noConversion"/>
  </si>
  <si>
    <t>필수팩 L1</t>
    <phoneticPr fontId="1" type="noConversion"/>
  </si>
  <si>
    <t>필수팩 L2</t>
    <phoneticPr fontId="1" type="noConversion"/>
  </si>
  <si>
    <t>필수팩 L3</t>
    <phoneticPr fontId="1" type="noConversion"/>
  </si>
  <si>
    <t>필수팩 M1</t>
    <phoneticPr fontId="1" type="noConversion"/>
  </si>
  <si>
    <t>V컬러링, 듀얼번호 Lite, 캐치콜, 통화가능알리미</t>
    <phoneticPr fontId="1" type="noConversion"/>
  </si>
  <si>
    <t>KT 365 폰케어</t>
    <phoneticPr fontId="1" type="noConversion"/>
  </si>
  <si>
    <t>5,900 ~</t>
    <phoneticPr fontId="1" type="noConversion"/>
  </si>
  <si>
    <t>M+1개월</t>
    <phoneticPr fontId="1" type="noConversion"/>
  </si>
  <si>
    <t>휴대폰 보험 혜택 제공
하단 공식 홈페이지 링크 참고</t>
    <phoneticPr fontId="1" type="noConversion"/>
  </si>
  <si>
    <t>뮤직벨링</t>
    <phoneticPr fontId="1" type="noConversion"/>
  </si>
  <si>
    <t>5G 초이스 베이직</t>
  </si>
  <si>
    <t>◀ 절대 삭제 금지</t>
    <phoneticPr fontId="1" type="noConversion"/>
  </si>
  <si>
    <t>통화/문자/데이터 무제한
영상/부가통화 300분</t>
    <phoneticPr fontId="1" type="noConversion"/>
  </si>
  <si>
    <t>통화/문자 무제한
데이터 110GB + 5Mbps
영상/부가통화 300분</t>
    <phoneticPr fontId="1" type="noConversion"/>
  </si>
  <si>
    <r>
      <t xml:space="preserve">지니뮤직 + 블라이스 셀렉트
</t>
    </r>
    <r>
      <rPr>
        <sz val="9"/>
        <color theme="1"/>
        <rFont val="맑은 고딕"/>
        <family val="3"/>
        <charset val="129"/>
        <scheme val="minor"/>
      </rPr>
      <t>+ V컬러링, 듀얼번호 Lite, 캐치콜, 통화가능알리미</t>
    </r>
    <phoneticPr fontId="1" type="noConversion"/>
  </si>
  <si>
    <r>
      <t xml:space="preserve">지니뮤직 + 밀리의 서재
</t>
    </r>
    <r>
      <rPr>
        <sz val="9"/>
        <color theme="1"/>
        <rFont val="맑은 고딕"/>
        <family val="3"/>
        <charset val="129"/>
        <scheme val="minor"/>
      </rPr>
      <t>+ V컬러링, 캐치콜, 통화가능알리미</t>
    </r>
    <phoneticPr fontId="1" type="noConversion"/>
  </si>
  <si>
    <t>가입유형</t>
    <phoneticPr fontId="1" type="noConversion"/>
  </si>
  <si>
    <t>인터넷+TV</t>
    <phoneticPr fontId="1" type="noConversion"/>
  </si>
  <si>
    <t>인+티 월 청구금액</t>
    <phoneticPr fontId="1" type="noConversion"/>
  </si>
  <si>
    <r>
      <t>50만원
+10</t>
    </r>
    <r>
      <rPr>
        <b/>
        <sz val="10"/>
        <color theme="1" tint="0.14999847407452621"/>
        <rFont val="맑은 고딕"/>
        <family val="3"/>
        <charset val="129"/>
        <scheme val="minor"/>
      </rPr>
      <t>(상품권)</t>
    </r>
    <phoneticPr fontId="1" type="noConversion"/>
  </si>
  <si>
    <t>◀ 예시입니다 안에 정책은 수정해야함</t>
    <phoneticPr fontId="1" type="noConversion"/>
  </si>
  <si>
    <r>
      <t>인+티+</t>
    </r>
    <r>
      <rPr>
        <b/>
        <sz val="11"/>
        <color rgb="FFEE0000"/>
        <rFont val="맑은 고딕"/>
        <family val="3"/>
        <charset val="129"/>
        <scheme val="minor"/>
      </rPr>
      <t>기기변경</t>
    </r>
    <phoneticPr fontId="1" type="noConversion"/>
  </si>
  <si>
    <r>
      <t>인+티+</t>
    </r>
    <r>
      <rPr>
        <b/>
        <sz val="11"/>
        <color rgb="FFEE0000"/>
        <rFont val="맑은 고딕"/>
        <family val="3"/>
        <charset val="129"/>
        <scheme val="minor"/>
      </rPr>
      <t>번호이동</t>
    </r>
    <phoneticPr fontId="1" type="noConversion"/>
  </si>
  <si>
    <r>
      <t>60만원
+ 7</t>
    </r>
    <r>
      <rPr>
        <b/>
        <sz val="10"/>
        <color theme="1" tint="0.14999847407452621"/>
        <rFont val="맑은 고딕"/>
        <family val="3"/>
        <charset val="129"/>
        <scheme val="minor"/>
      </rPr>
      <t>(상품권)</t>
    </r>
    <phoneticPr fontId="1" type="noConversion"/>
  </si>
  <si>
    <t>안내사항</t>
    <phoneticPr fontId="1" type="noConversion"/>
  </si>
  <si>
    <t>인터넷 에센스(1G)
지니 TV 에센스</t>
    <phoneticPr fontId="1" type="noConversion"/>
  </si>
  <si>
    <t>인터넷 베이직(500MB)
지니 TV 에센스</t>
    <phoneticPr fontId="1" type="noConversion"/>
  </si>
  <si>
    <r>
      <rPr>
        <b/>
        <sz val="10"/>
        <color theme="0"/>
        <rFont val="맑은 고딕"/>
        <family val="3"/>
        <charset val="129"/>
        <scheme val="minor"/>
      </rPr>
      <t>·</t>
    </r>
    <r>
      <rPr>
        <sz val="10"/>
        <color theme="0"/>
        <rFont val="맑은 고딕"/>
        <family val="3"/>
        <charset val="129"/>
        <scheme val="minor"/>
      </rPr>
      <t xml:space="preserve">  월 청구 금액은 부가세 포함 예상 청구 금액으로, 가족 결합이 제외된 금액이며, 결합 유형에 따라
  </t>
    </r>
    <r>
      <rPr>
        <sz val="6"/>
        <color theme="0"/>
        <rFont val="맑은 고딕"/>
        <family val="3"/>
        <charset val="129"/>
        <scheme val="minor"/>
      </rPr>
      <t xml:space="preserve"> </t>
    </r>
    <r>
      <rPr>
        <sz val="10"/>
        <color theme="0"/>
        <rFont val="맑은 고딕"/>
        <family val="3"/>
        <charset val="129"/>
        <scheme val="minor"/>
      </rPr>
      <t>청구 금액이</t>
    </r>
    <r>
      <rPr>
        <sz val="6"/>
        <color theme="0"/>
        <rFont val="맑은 고딕"/>
        <family val="3"/>
        <charset val="129"/>
        <scheme val="minor"/>
      </rPr>
      <t xml:space="preserve"> </t>
    </r>
    <r>
      <rPr>
        <sz val="10"/>
        <color theme="0"/>
        <rFont val="맑은 고딕"/>
        <family val="3"/>
        <charset val="129"/>
        <scheme val="minor"/>
      </rPr>
      <t xml:space="preserve">변동될 수 있습니다.
</t>
    </r>
    <r>
      <rPr>
        <b/>
        <sz val="10"/>
        <color theme="0"/>
        <rFont val="맑은 고딕"/>
        <family val="3"/>
        <charset val="129"/>
        <scheme val="minor"/>
      </rPr>
      <t xml:space="preserve">·  </t>
    </r>
    <r>
      <rPr>
        <sz val="10"/>
        <color theme="0"/>
        <rFont val="맑은 고딕"/>
        <family val="3"/>
        <charset val="129"/>
        <scheme val="minor"/>
      </rPr>
      <t xml:space="preserve">원스톱 기준 금액입니다.
   * 원스톱 : 신규 통신사 가입 시, 기존 통신사 서비스 해지를 동시에 처리할 수 있는 제도
</t>
    </r>
    <r>
      <rPr>
        <b/>
        <sz val="10"/>
        <color theme="0"/>
        <rFont val="맑은 고딕"/>
        <family val="3"/>
        <charset val="129"/>
        <scheme val="minor"/>
      </rPr>
      <t xml:space="preserve">·  </t>
    </r>
    <r>
      <rPr>
        <sz val="10"/>
        <color theme="0"/>
        <rFont val="맑은 고딕"/>
        <family val="3"/>
        <charset val="129"/>
        <scheme val="minor"/>
      </rPr>
      <t>인터넷 신규 개통 시, 지원금 -15만원 축소됩니다.</t>
    </r>
    <phoneticPr fontId="1" type="noConversion"/>
  </si>
  <si>
    <r>
      <rPr>
        <b/>
        <sz val="10"/>
        <color theme="0"/>
        <rFont val="맑은 고딕"/>
        <family val="3"/>
        <charset val="129"/>
        <scheme val="minor"/>
      </rPr>
      <t>·</t>
    </r>
    <r>
      <rPr>
        <sz val="10"/>
        <color theme="0"/>
        <rFont val="맑은 고딕"/>
        <family val="3"/>
        <charset val="129"/>
        <scheme val="minor"/>
      </rPr>
      <t xml:space="preserve"> 월 청구금액은 부가세 포함된 예상 청구 금액으로, 가족결합 제외된 금액이며, 결합 유형에 따라 청구 금액이
 </t>
    </r>
    <r>
      <rPr>
        <sz val="6"/>
        <color theme="0"/>
        <rFont val="맑은 고딕"/>
        <family val="3"/>
        <charset val="129"/>
        <scheme val="minor"/>
      </rPr>
      <t xml:space="preserve"> </t>
    </r>
    <r>
      <rPr>
        <sz val="10"/>
        <color theme="0"/>
        <rFont val="맑은 고딕"/>
        <family val="3"/>
        <charset val="129"/>
        <scheme val="minor"/>
      </rPr>
      <t xml:space="preserve">변동될 수 있습니다.
</t>
    </r>
    <r>
      <rPr>
        <b/>
        <sz val="10"/>
        <color theme="0"/>
        <rFont val="맑은 고딕"/>
        <family val="3"/>
        <charset val="129"/>
        <scheme val="minor"/>
      </rPr>
      <t xml:space="preserve">· </t>
    </r>
    <r>
      <rPr>
        <sz val="10"/>
        <color theme="0"/>
        <rFont val="맑은 고딕"/>
        <family val="3"/>
        <charset val="129"/>
        <scheme val="minor"/>
      </rPr>
      <t xml:space="preserve">원스톱 기준 금액입니다. * 원스톱 : 신규 통신사 가입 시, 기존 통신사 서비스 해지를 동시에 처리하는 제도
</t>
    </r>
    <r>
      <rPr>
        <b/>
        <sz val="10"/>
        <color theme="0"/>
        <rFont val="맑은 고딕"/>
        <family val="3"/>
        <charset val="129"/>
        <scheme val="minor"/>
      </rPr>
      <t xml:space="preserve">· </t>
    </r>
    <r>
      <rPr>
        <sz val="10"/>
        <color theme="0"/>
        <rFont val="맑은 고딕"/>
        <family val="3"/>
        <charset val="129"/>
        <scheme val="minor"/>
      </rPr>
      <t>인터넷 신규 개통 시, 지원금 -15만원 축소됩니다.</t>
    </r>
    <phoneticPr fontId="1" type="noConversion"/>
  </si>
  <si>
    <t>넷플릭스, 디즈니+
YouTube 프리미엄 할인 등 택 1
스마트기기 2회선 이용 요금 무료</t>
  </si>
  <si>
    <r>
      <t xml:space="preserve">넷플릭스, 디즈니+
YouTube 프리미엄 할인 등 택 1
스마트기기 </t>
    </r>
    <r>
      <rPr>
        <b/>
        <sz val="8"/>
        <color theme="1"/>
        <rFont val="맑은 고딕"/>
        <family val="3"/>
        <charset val="129"/>
        <scheme val="minor"/>
      </rPr>
      <t>2회선</t>
    </r>
    <r>
      <rPr>
        <sz val="8"/>
        <color theme="1"/>
        <rFont val="맑은 고딕"/>
        <family val="3"/>
        <charset val="129"/>
        <scheme val="minor"/>
      </rPr>
      <t xml:space="preserve"> 이용 요금 무료</t>
    </r>
    <phoneticPr fontId="1" type="noConversion"/>
  </si>
  <si>
    <t>통화/문자 무제한
데이터 1.5GB
영상/부가통화 100분</t>
    <phoneticPr fontId="1" type="noConversion"/>
  </si>
  <si>
    <t>기본 데이터 소진 후, 추가 요금 발생 가능
* 밤 지킴이 데이터 4배
* 0~7시 데이터 7% 할인</t>
    <phoneticPr fontId="1" type="noConversion"/>
  </si>
  <si>
    <t>T올케어 +5</t>
    <phoneticPr fontId="1" type="noConversion"/>
  </si>
  <si>
    <t>5,900~</t>
    <phoneticPr fontId="1" type="noConversion"/>
  </si>
  <si>
    <t>휴대폰 보험 혜택 제공 (가입 상품별 상이)</t>
    <phoneticPr fontId="1" type="noConversion"/>
  </si>
  <si>
    <t>월 청구금액</t>
    <phoneticPr fontId="1" type="noConversion"/>
  </si>
  <si>
    <r>
      <t>인+티+</t>
    </r>
    <r>
      <rPr>
        <b/>
        <sz val="11"/>
        <color rgb="FFEE0000"/>
        <rFont val="맑은 고딕"/>
        <family val="3"/>
        <charset val="129"/>
        <scheme val="minor"/>
      </rPr>
      <t>기변</t>
    </r>
    <phoneticPr fontId="1" type="noConversion"/>
  </si>
  <si>
    <t>갤럭시S25</t>
    <phoneticPr fontId="1" type="noConversion"/>
  </si>
  <si>
    <t>갤럭시Z플립7</t>
  </si>
  <si>
    <t>갤럭시Z폴드7</t>
  </si>
  <si>
    <t>프리미어슈퍼</t>
    <phoneticPr fontId="1" type="noConversion"/>
  </si>
  <si>
    <t>통화 연결음 혜택 + V컬러링 등</t>
    <phoneticPr fontId="1" type="noConversion"/>
  </si>
  <si>
    <t>80만원</t>
    <phoneticPr fontId="1" type="noConversion"/>
  </si>
  <si>
    <t>75만원</t>
    <phoneticPr fontId="1" type="noConversion"/>
  </si>
  <si>
    <t>70만원</t>
    <phoneticPr fontId="1" type="noConversion"/>
  </si>
  <si>
    <t>65만원</t>
    <phoneticPr fontId="1" type="noConversion"/>
  </si>
  <si>
    <t>49만원</t>
    <phoneticPr fontId="1" type="noConversion"/>
  </si>
  <si>
    <t>40만원</t>
    <phoneticPr fontId="1" type="noConversion"/>
  </si>
  <si>
    <t>46만원</t>
    <phoneticPr fontId="1" type="noConversion"/>
  </si>
  <si>
    <t>55만원</t>
    <phoneticPr fontId="1" type="noConversion"/>
  </si>
  <si>
    <t>폰안심패스(보험)</t>
    <phoneticPr fontId="1" type="noConversion"/>
  </si>
  <si>
    <t>상품마다 상이</t>
    <phoneticPr fontId="1" type="noConversion"/>
  </si>
  <si>
    <t>분실 or 파손 보험혜택</t>
    <phoneticPr fontId="1" type="noConversion"/>
  </si>
  <si>
    <t>초고속(1G)</t>
    <phoneticPr fontId="1" type="noConversion"/>
  </si>
  <si>
    <t>초고속(500MB)</t>
    <phoneticPr fontId="1" type="noConversion"/>
  </si>
  <si>
    <t>초고속(100MB)</t>
    <phoneticPr fontId="1" type="noConversion"/>
  </si>
  <si>
    <t>유선 월 청구금액</t>
    <phoneticPr fontId="1" type="noConversion"/>
  </si>
  <si>
    <t>월 38,500원</t>
    <phoneticPr fontId="1" type="noConversion"/>
  </si>
  <si>
    <t>월 33,000원</t>
    <phoneticPr fontId="1" type="noConversion"/>
  </si>
  <si>
    <t>월 22,000원</t>
    <phoneticPr fontId="1" type="noConversion"/>
  </si>
  <si>
    <t>모바일+인터넷만</t>
    <phoneticPr fontId="1" type="noConversion"/>
  </si>
  <si>
    <t>월 53,900원</t>
    <phoneticPr fontId="1" type="noConversion"/>
  </si>
  <si>
    <t>월 48,400원</t>
    <phoneticPr fontId="1" type="noConversion"/>
  </si>
  <si>
    <t>월 40,700원</t>
    <phoneticPr fontId="1" type="noConversion"/>
  </si>
  <si>
    <r>
      <t>82만원
+ 10</t>
    </r>
    <r>
      <rPr>
        <b/>
        <sz val="10"/>
        <color theme="1" tint="0.14999847407452621"/>
        <rFont val="맑은 고딕"/>
        <family val="3"/>
        <charset val="129"/>
        <scheme val="minor"/>
      </rPr>
      <t>(상품권)</t>
    </r>
    <phoneticPr fontId="1" type="noConversion"/>
  </si>
  <si>
    <r>
      <t>65만원
+ 7</t>
    </r>
    <r>
      <rPr>
        <b/>
        <sz val="10"/>
        <color theme="1" tint="0.14999847407452621"/>
        <rFont val="맑은 고딕"/>
        <family val="3"/>
        <charset val="129"/>
        <scheme val="minor"/>
      </rPr>
      <t>(상품권)</t>
    </r>
    <phoneticPr fontId="1" type="noConversion"/>
  </si>
  <si>
    <t>인터넷 베이직(500MB)
TV 베이직</t>
    <phoneticPr fontId="1" type="noConversion"/>
  </si>
  <si>
    <r>
      <t>20만원
+6</t>
    </r>
    <r>
      <rPr>
        <b/>
        <sz val="10"/>
        <color theme="1" tint="0.14999847407452621"/>
        <rFont val="맑은 고딕"/>
        <family val="3"/>
        <charset val="129"/>
        <scheme val="minor"/>
      </rPr>
      <t>(상품권)</t>
    </r>
    <phoneticPr fontId="1" type="noConversion"/>
  </si>
  <si>
    <r>
      <t>30만원
+ 6</t>
    </r>
    <r>
      <rPr>
        <b/>
        <sz val="10"/>
        <color theme="1" tint="0.14999847407452621"/>
        <rFont val="맑은 고딕"/>
        <family val="3"/>
        <charset val="129"/>
        <scheme val="minor"/>
      </rPr>
      <t>(상품권)</t>
    </r>
    <phoneticPr fontId="1" type="noConversion"/>
  </si>
  <si>
    <r>
      <t>75만원
+ 10</t>
    </r>
    <r>
      <rPr>
        <b/>
        <sz val="10"/>
        <color theme="1" tint="0.14999847407452621"/>
        <rFont val="맑은 고딕"/>
        <family val="3"/>
        <charset val="129"/>
        <scheme val="minor"/>
      </rPr>
      <t>(상품권)</t>
    </r>
    <phoneticPr fontId="1" type="noConversion"/>
  </si>
  <si>
    <t>50만원</t>
    <phoneticPr fontId="1" type="noConversion"/>
  </si>
  <si>
    <t>30만원</t>
    <phoneticPr fontId="1" type="noConversion"/>
  </si>
  <si>
    <t>월 56,100원</t>
    <phoneticPr fontId="1" type="noConversion"/>
  </si>
  <si>
    <t>월 50,600원</t>
    <phoneticPr fontId="1" type="noConversion"/>
  </si>
  <si>
    <t xml:space="preserve">모바일+
프리미엄안심보상(1G)
+TV(프리미엄VOD) </t>
    <phoneticPr fontId="1" type="noConversion"/>
  </si>
  <si>
    <t>모바일+
프리미엄안심(500MB)
+TV(프리미엄VOD)</t>
    <phoneticPr fontId="1" type="noConversion"/>
  </si>
  <si>
    <t>월 57,200원</t>
    <phoneticPr fontId="1" type="noConversion"/>
  </si>
  <si>
    <t>월 62,700원</t>
    <phoneticPr fontId="1" type="noConversion"/>
  </si>
  <si>
    <t>월 62,700원</t>
    <phoneticPr fontId="1" type="noConversion"/>
  </si>
  <si>
    <t xml:space="preserve">모바일+
프리미엄안심보상(1G)
+TV(프리미엄VOD) </t>
  </si>
  <si>
    <t>모바일+
프리미엄안심(500MB)
+TV(프리미엄VOD)</t>
  </si>
  <si>
    <t xml:space="preserve">모바일+
프리미엄안심(1G)
+TV(베이직) </t>
  </si>
  <si>
    <t>모바일+
프리미엄안심(500MB)
+TV(베이직)</t>
  </si>
  <si>
    <r>
      <t>35만원
+7</t>
    </r>
    <r>
      <rPr>
        <b/>
        <sz val="10"/>
        <color theme="1" tint="0.14999847407452621"/>
        <rFont val="맑은 고딕"/>
        <family val="3"/>
        <charset val="129"/>
        <scheme val="minor"/>
      </rPr>
      <t>(상품권)</t>
    </r>
    <phoneticPr fontId="1" type="noConversion"/>
  </si>
  <si>
    <t>갤럭시S25엣지(개봉)</t>
  </si>
  <si>
    <t xml:space="preserve">  </t>
    <phoneticPr fontId="1" type="noConversion"/>
  </si>
  <si>
    <t xml:space="preserve"> </t>
    <phoneticPr fontId="1" type="noConversion"/>
  </si>
  <si>
    <t>아이폰17_256G</t>
  </si>
  <si>
    <t>아이폰17_512G</t>
  </si>
  <si>
    <t>아이폰에어_256G</t>
  </si>
  <si>
    <t>아이폰에어_512G</t>
  </si>
  <si>
    <t>아이폰17프로_256G</t>
  </si>
  <si>
    <t>아이폰17프로_512G</t>
  </si>
  <si>
    <t>아이폰17프로맥스_256G</t>
  </si>
  <si>
    <t>아이폰17프로맥스_512G</t>
  </si>
  <si>
    <t>90,000원</t>
    <phoneticPr fontId="1" type="noConversion"/>
  </si>
  <si>
    <t xml:space="preserve"> 5G 프리미어 슈퍼</t>
    <phoneticPr fontId="1" type="noConversion"/>
  </si>
  <si>
    <t>갤럭시S24FE(개봉)</t>
  </si>
  <si>
    <t>갤럭시S25울트라(개봉)</t>
  </si>
  <si>
    <t>초고속(1G)+tv all</t>
    <phoneticPr fontId="1" type="noConversion"/>
  </si>
  <si>
    <t>초고속(500MB)+tv all</t>
    <phoneticPr fontId="1" type="noConversion"/>
  </si>
  <si>
    <t>초고속(100MB)+tv all</t>
    <phoneticPr fontId="1" type="noConversion"/>
  </si>
  <si>
    <t>월 42,900원</t>
    <phoneticPr fontId="1" type="noConversion"/>
  </si>
  <si>
    <t>월 59,400원</t>
    <phoneticPr fontId="1" type="noConversion"/>
  </si>
  <si>
    <t>갤럭시S25FE</t>
  </si>
  <si>
    <t>KT</t>
    <phoneticPr fontId="1" type="noConversion"/>
  </si>
  <si>
    <t>U+</t>
    <phoneticPr fontId="1" type="noConversion"/>
  </si>
  <si>
    <t>3,500원</t>
    <phoneticPr fontId="1" type="noConversion"/>
  </si>
  <si>
    <t>필수팩L</t>
    <phoneticPr fontId="1" type="noConversion"/>
  </si>
  <si>
    <t>9,900원</t>
    <phoneticPr fontId="1" type="noConversion"/>
  </si>
  <si>
    <t>5,900원~</t>
    <phoneticPr fontId="1" type="noConversion"/>
  </si>
  <si>
    <t>월 청구요금</t>
    <phoneticPr fontId="1" type="noConversion"/>
  </si>
  <si>
    <t>95일</t>
    <phoneticPr fontId="1" type="noConversion"/>
  </si>
  <si>
    <t>부가서비스 유지기간</t>
    <phoneticPr fontId="1" type="noConversion"/>
  </si>
  <si>
    <t>요금제 유지기간</t>
    <phoneticPr fontId="1" type="noConversion"/>
  </si>
  <si>
    <t>요금제명</t>
    <phoneticPr fontId="1" type="noConversion"/>
  </si>
  <si>
    <t>요금제 명</t>
    <phoneticPr fontId="1" type="noConversion"/>
  </si>
  <si>
    <t>초이스 스페셜</t>
    <phoneticPr fontId="1" type="noConversion"/>
  </si>
  <si>
    <t>초이스 베이직</t>
    <phoneticPr fontId="1" type="noConversion"/>
  </si>
  <si>
    <t>110,000원</t>
    <phoneticPr fontId="1" type="noConversion"/>
  </si>
  <si>
    <t>115,000원</t>
    <phoneticPr fontId="1" type="noConversion"/>
  </si>
  <si>
    <t>109,000원</t>
    <phoneticPr fontId="1" type="noConversion"/>
  </si>
  <si>
    <t>요금제 110,000원~</t>
    <phoneticPr fontId="1" type="noConversion"/>
  </si>
  <si>
    <t>갤럭시Z플립7</t>
    <phoneticPr fontId="1" type="noConversion"/>
  </si>
  <si>
    <t>갤럭시Z폴드7</t>
    <phoneticPr fontId="1" type="noConversion"/>
  </si>
  <si>
    <t>갤럭시S25+</t>
    <phoneticPr fontId="1" type="noConversion"/>
  </si>
  <si>
    <t>갤럭시S25울트라</t>
    <phoneticPr fontId="1" type="noConversion"/>
  </si>
  <si>
    <t>갤럭시S25엣지</t>
    <phoneticPr fontId="1" type="noConversion"/>
  </si>
  <si>
    <t>갤럭시S24+</t>
    <phoneticPr fontId="1" type="noConversion"/>
  </si>
  <si>
    <t>갤럭시S24울트라</t>
    <phoneticPr fontId="1" type="noConversion"/>
  </si>
  <si>
    <t>아이폰17_256G</t>
    <phoneticPr fontId="1" type="noConversion"/>
  </si>
  <si>
    <t>아이폰17_512G</t>
    <phoneticPr fontId="1" type="noConversion"/>
  </si>
  <si>
    <t>아이폰에어_256G</t>
    <phoneticPr fontId="1" type="noConversion"/>
  </si>
  <si>
    <t>아이폰에어_512G</t>
    <phoneticPr fontId="1" type="noConversion"/>
  </si>
  <si>
    <t>아이폰17프로_256G</t>
    <phoneticPr fontId="1" type="noConversion"/>
  </si>
  <si>
    <t>아이폰17프로_512G</t>
    <phoneticPr fontId="1" type="noConversion"/>
  </si>
  <si>
    <t>아이폰17프로맥스_256G</t>
    <phoneticPr fontId="1" type="noConversion"/>
  </si>
  <si>
    <t>아이폰17프로맥스_512G</t>
    <phoneticPr fontId="1" type="noConversion"/>
  </si>
  <si>
    <t>아이폰16_128G</t>
    <phoneticPr fontId="1" type="noConversion"/>
  </si>
  <si>
    <t>아이폰16_256G</t>
    <phoneticPr fontId="1" type="noConversion"/>
  </si>
  <si>
    <t>아이폰16프로_128G</t>
    <phoneticPr fontId="1" type="noConversion"/>
  </si>
  <si>
    <t xml:space="preserve"> 5G 프리미어 슈퍼</t>
  </si>
  <si>
    <t>부가서비스 
미가입/미유지 시 추가금</t>
    <phoneticPr fontId="1" type="noConversion"/>
  </si>
  <si>
    <t xml:space="preserve"> 기변 </t>
    <phoneticPr fontId="1" type="noConversion"/>
  </si>
  <si>
    <t xml:space="preserve"> 번이 </t>
    <phoneticPr fontId="1" type="noConversion"/>
  </si>
  <si>
    <t xml:space="preserve">  번이  </t>
    <phoneticPr fontId="1" type="noConversion"/>
  </si>
  <si>
    <t xml:space="preserve">  기변  </t>
    <phoneticPr fontId="1" type="noConversion"/>
  </si>
  <si>
    <t>O</t>
  </si>
  <si>
    <t>오프라인 정책만 체크</t>
    <phoneticPr fontId="1" type="noConversion"/>
  </si>
  <si>
    <t>마이
스마트콜3</t>
    <phoneticPr fontId="1" type="noConversion"/>
  </si>
  <si>
    <t>부가서비스</t>
    <phoneticPr fontId="1" type="noConversion"/>
  </si>
  <si>
    <t>삼성 갤럭시</t>
    <phoneticPr fontId="1" type="noConversion"/>
  </si>
  <si>
    <t>애플 아이폰</t>
    <phoneticPr fontId="1" type="noConversion"/>
  </si>
  <si>
    <t>o</t>
    <phoneticPr fontId="1" type="noConversion"/>
  </si>
  <si>
    <t>갤럭시퀀텀6</t>
  </si>
  <si>
    <t>갤럭시S25(개봉)</t>
    <phoneticPr fontId="1" type="noConversion"/>
  </si>
  <si>
    <t>갤럭시S25울트라(개봉)</t>
    <phoneticPr fontId="1" type="noConversion"/>
  </si>
  <si>
    <t>갤럭시 Z 플립6(개봉)</t>
    <phoneticPr fontId="1" type="noConversion"/>
  </si>
  <si>
    <t>갤럭시 Z 폴드6(개봉)</t>
    <phoneticPr fontId="1" type="noConversion"/>
  </si>
  <si>
    <t>15,400원</t>
    <phoneticPr fontId="1" type="noConversion"/>
  </si>
  <si>
    <t>6,500원~</t>
    <phoneticPr fontId="1" type="noConversion"/>
  </si>
  <si>
    <t>5G 초이스 베이직</t>
    <phoneticPr fontId="1" type="noConversion"/>
  </si>
  <si>
    <t>5GX
프리미엄</t>
    <phoneticPr fontId="1" type="noConversion"/>
  </si>
  <si>
    <t>개봉폰 특가</t>
  </si>
  <si>
    <t>부가서비스 안내</t>
    <phoneticPr fontId="1" type="noConversion"/>
  </si>
  <si>
    <t>V컬러링음악감상
+벨링 콘텐츠 팩</t>
    <phoneticPr fontId="1" type="noConversion"/>
  </si>
  <si>
    <t>SKT</t>
    <phoneticPr fontId="1" type="noConversion"/>
  </si>
  <si>
    <t>마이스마트콜3 : 2만원
보험 : 3만원   /   우주패스 : 3만원</t>
    <phoneticPr fontId="1" type="noConversion"/>
  </si>
  <si>
    <r>
      <rPr>
        <sz val="20"/>
        <color theme="0"/>
        <rFont val="페이퍼로지 4 Regular"/>
        <family val="3"/>
        <charset val="129"/>
      </rPr>
      <t>우리 동네 근처</t>
    </r>
    <r>
      <rPr>
        <sz val="20"/>
        <color rgb="FFFCE16C"/>
        <rFont val="페이퍼로지 5 Medium"/>
        <family val="3"/>
        <charset val="129"/>
      </rPr>
      <t xml:space="preserve"> </t>
    </r>
    <r>
      <rPr>
        <sz val="20"/>
        <color rgb="FFFCE16C"/>
        <rFont val="페이퍼로지 6 SemiBold"/>
        <family val="3"/>
        <charset val="129"/>
      </rPr>
      <t xml:space="preserve">휴대폰 성지 </t>
    </r>
    <phoneticPr fontId="1" type="noConversion"/>
  </si>
  <si>
    <t>요금제 안내</t>
    <phoneticPr fontId="1" type="noConversion"/>
  </si>
  <si>
    <t>요금제 청구 요금</t>
    <phoneticPr fontId="1" type="noConversion"/>
  </si>
  <si>
    <t>※ 위 자료는 참고 자료로 정확한 상품 설명은 각 통신사의 공식 홈페이지를 참고해주시길 바랍니다.</t>
    <phoneticPr fontId="1" type="noConversion"/>
  </si>
  <si>
    <t>구매 전 안내사항</t>
    <phoneticPr fontId="1" type="noConversion"/>
  </si>
  <si>
    <t>④ 위약금 및 잔여 할부금은 기존 통신사 고객센터를 통하여 직접 확인해주셔야 합니다.</t>
    <phoneticPr fontId="1" type="noConversion"/>
  </si>
  <si>
    <t>⑥ 총 지원금 중 20만원은 유통망지원금이 들어가며, 약정위약금으로 설정됩니다.</t>
    <phoneticPr fontId="1" type="noConversion"/>
  </si>
  <si>
    <t>⑦ KT는 공통지원금, 선택약정에 따른 지원금이 동일하나, SK와 LG는 선택 약정 가입 시 지원금이 변동될 수 있습니다.</t>
    <phoneticPr fontId="1" type="noConversion"/>
  </si>
  <si>
    <t>⑧ 회선유지기간 : SK개통당월 포함 9개월 / KT,LGU+ 개통일 포함 190일</t>
    <phoneticPr fontId="1" type="noConversion"/>
  </si>
  <si>
    <t>⑨ 본 시세표에 표기된 금액은 천원 단위가 반올림 되어 표기된 가격으로 참고용으로 봐주시길 바랍니다.</t>
    <phoneticPr fontId="1" type="noConversion"/>
  </si>
  <si>
    <t>　 * 단, 일부 모델의 경우, 유통망지원금이 변경될 수 있습니다.</t>
    <phoneticPr fontId="1" type="noConversion"/>
  </si>
  <si>
    <t>본 시세표에 기재된 구매가는 현금 구매 / 할부 구매 동일 조건입니다.</t>
    <phoneticPr fontId="1" type="noConversion"/>
  </si>
  <si>
    <t xml:space="preserve">    오늘의 특가</t>
    <phoneticPr fontId="1" type="noConversion"/>
  </si>
  <si>
    <t>　　 ▲ 상단에   + 클릭하면 오프라인 세팅</t>
    <phoneticPr fontId="1" type="noConversion"/>
  </si>
  <si>
    <r>
      <t>인+티+</t>
    </r>
    <r>
      <rPr>
        <sz val="11"/>
        <color rgb="FFEE0000"/>
        <rFont val="페이퍼로지 4 Regular"/>
        <family val="3"/>
        <charset val="129"/>
      </rPr>
      <t>번호이동</t>
    </r>
    <phoneticPr fontId="1" type="noConversion"/>
  </si>
  <si>
    <r>
      <t>인터넷+TV+</t>
    </r>
    <r>
      <rPr>
        <sz val="11"/>
        <color rgb="FFEE0000"/>
        <rFont val="페이퍼로지 4 Regular"/>
        <family val="3"/>
        <charset val="129"/>
      </rPr>
      <t>번호이동</t>
    </r>
    <phoneticPr fontId="1" type="noConversion"/>
  </si>
  <si>
    <r>
      <t>인+티+</t>
    </r>
    <r>
      <rPr>
        <sz val="11"/>
        <color rgb="FFFF0000"/>
        <rFont val="페이퍼로지 4 Regular"/>
        <family val="3"/>
        <charset val="129"/>
      </rPr>
      <t>기변</t>
    </r>
    <phoneticPr fontId="1" type="noConversion"/>
  </si>
  <si>
    <r>
      <t>40만원
+10만원</t>
    </r>
    <r>
      <rPr>
        <sz val="9"/>
        <color theme="1" tint="0.14999847407452621"/>
        <rFont val="페이퍼로지 4 Regular"/>
        <family val="3"/>
        <charset val="129"/>
      </rPr>
      <t>(상품권)</t>
    </r>
    <phoneticPr fontId="1" type="noConversion"/>
  </si>
  <si>
    <r>
      <t>30만원
+7만원</t>
    </r>
    <r>
      <rPr>
        <sz val="9"/>
        <color theme="1" tint="0.14999847407452621"/>
        <rFont val="페이퍼로지 4 Regular"/>
        <family val="3"/>
        <charset val="129"/>
      </rPr>
      <t>(상품권)</t>
    </r>
    <phoneticPr fontId="1" type="noConversion"/>
  </si>
  <si>
    <t>인터넷 + TV</t>
    <phoneticPr fontId="1" type="noConversion"/>
  </si>
  <si>
    <t>예상 청구 금액</t>
    <phoneticPr fontId="1" type="noConversion"/>
  </si>
  <si>
    <t>예상 청구금액은 모바일 요금제를 제외한 인터넷 + 티비만 합산된 예상 월 청구 금액이며, 실제 금액은 다를 수 있습니다.</t>
    <phoneticPr fontId="1" type="noConversion"/>
  </si>
  <si>
    <r>
      <t xml:space="preserve">인터넷 + TV + </t>
    </r>
    <r>
      <rPr>
        <sz val="11"/>
        <color rgb="FFC00000"/>
        <rFont val="페이퍼로지 7 Bold"/>
        <family val="3"/>
        <charset val="129"/>
      </rPr>
      <t>번호이동</t>
    </r>
    <phoneticPr fontId="1" type="noConversion"/>
  </si>
  <si>
    <r>
      <t xml:space="preserve">인터넷 + TV + </t>
    </r>
    <r>
      <rPr>
        <sz val="11"/>
        <color rgb="FFC00000"/>
        <rFont val="페이퍼로지 7 Bold"/>
        <family val="3"/>
        <charset val="129"/>
      </rPr>
      <t>기기변경</t>
    </r>
    <phoneticPr fontId="1" type="noConversion"/>
  </si>
  <si>
    <r>
      <t>60만원 + 7만원</t>
    </r>
    <r>
      <rPr>
        <sz val="9"/>
        <color theme="1" tint="0.14999847407452621"/>
        <rFont val="페이퍼로지 4 Regular"/>
        <family val="3"/>
        <charset val="129"/>
      </rPr>
      <t>(상품권)</t>
    </r>
    <phoneticPr fontId="1" type="noConversion"/>
  </si>
  <si>
    <r>
      <t>75만원 + 10만원</t>
    </r>
    <r>
      <rPr>
        <sz val="9"/>
        <color theme="1" tint="0.14999847407452621"/>
        <rFont val="페이퍼로지 4 Regular"/>
        <family val="3"/>
        <charset val="129"/>
      </rPr>
      <t>(상품권)</t>
    </r>
    <phoneticPr fontId="1" type="noConversion"/>
  </si>
  <si>
    <r>
      <t xml:space="preserve">인터넷 </t>
    </r>
    <r>
      <rPr>
        <sz val="11"/>
        <color rgb="FFC00000"/>
        <rFont val="페이퍼로지 4 Regular"/>
        <family val="3"/>
        <charset val="129"/>
      </rPr>
      <t>에센스</t>
    </r>
    <r>
      <rPr>
        <sz val="11"/>
        <color theme="1" tint="0.14999847407452621"/>
        <rFont val="페이퍼로지 4 Regular"/>
        <family val="3"/>
        <charset val="129"/>
      </rPr>
      <t xml:space="preserve"> </t>
    </r>
    <r>
      <rPr>
        <sz val="8"/>
        <color theme="1" tint="0.14999847407452621"/>
        <rFont val="페이퍼로지 4 Regular"/>
        <family val="3"/>
        <charset val="129"/>
      </rPr>
      <t>(1G)</t>
    </r>
    <r>
      <rPr>
        <sz val="11"/>
        <color theme="1" tint="0.14999847407452621"/>
        <rFont val="페이퍼로지 4 Regular"/>
        <family val="3"/>
        <charset val="129"/>
      </rPr>
      <t xml:space="preserve">
+ IPTV </t>
    </r>
    <r>
      <rPr>
        <sz val="11"/>
        <color rgb="FFC00000"/>
        <rFont val="페이퍼로지 4 Regular"/>
        <family val="3"/>
        <charset val="129"/>
      </rPr>
      <t>모든G</t>
    </r>
    <phoneticPr fontId="1" type="noConversion"/>
  </si>
  <si>
    <r>
      <t xml:space="preserve">인터넷 </t>
    </r>
    <r>
      <rPr>
        <sz val="11"/>
        <color rgb="FFC00000"/>
        <rFont val="페이퍼로지 4 Regular"/>
        <family val="3"/>
        <charset val="129"/>
      </rPr>
      <t>베이직</t>
    </r>
    <r>
      <rPr>
        <sz val="8"/>
        <color theme="1" tint="0.14999847407452621"/>
        <rFont val="페이퍼로지 4 Regular"/>
        <family val="3"/>
        <charset val="129"/>
      </rPr>
      <t xml:space="preserve"> (500MB)</t>
    </r>
    <r>
      <rPr>
        <sz val="11"/>
        <color theme="1" tint="0.14999847407452621"/>
        <rFont val="페이퍼로지 4 Regular"/>
        <family val="3"/>
        <charset val="129"/>
      </rPr>
      <t xml:space="preserve">
+ IPTV</t>
    </r>
    <r>
      <rPr>
        <sz val="11"/>
        <color rgb="FFC00000"/>
        <rFont val="페이퍼로지 4 Regular"/>
        <family val="3"/>
        <charset val="129"/>
      </rPr>
      <t xml:space="preserve"> 모든G</t>
    </r>
    <phoneticPr fontId="1" type="noConversion"/>
  </si>
  <si>
    <r>
      <t xml:space="preserve">부가서비스 종류 및 가격
</t>
    </r>
    <r>
      <rPr>
        <sz val="10"/>
        <color theme="1" tint="0.14999847407452621"/>
        <rFont val="페이퍼로지 3 Light"/>
        <family val="3"/>
        <charset val="129"/>
      </rPr>
      <t>* 상세 내용은 공식 홈페이지를 참고해주세요</t>
    </r>
    <phoneticPr fontId="1" type="noConversion"/>
  </si>
  <si>
    <r>
      <rPr>
        <sz val="16"/>
        <color rgb="FFFF0000"/>
        <rFont val="페이퍼로지 5 Medium"/>
        <family val="3"/>
        <charset val="129"/>
      </rPr>
      <t>유의사항 : OTT 서비스에 따라 추가요금 발생할 수 있습니다.</t>
    </r>
    <r>
      <rPr>
        <sz val="11"/>
        <color theme="1" tint="0.14999847407452621"/>
        <rFont val="페이퍼로지 5 Medium"/>
        <family val="3"/>
        <charset val="129"/>
      </rPr>
      <t xml:space="preserve">
</t>
    </r>
    <r>
      <rPr>
        <sz val="11"/>
        <color theme="1" tint="0.14999847407452621"/>
        <rFont val="페이퍼로지 4 Regular"/>
        <family val="3"/>
        <charset val="129"/>
      </rPr>
      <t>예시 : (유튜브) 프리미어 슈퍼 월 4,450원의 추가비용 발생</t>
    </r>
    <phoneticPr fontId="1" type="noConversion"/>
  </si>
  <si>
    <r>
      <t xml:space="preserve">내 손안의 </t>
    </r>
    <r>
      <rPr>
        <sz val="20"/>
        <color rgb="FFFCE16C"/>
        <rFont val="페이퍼로지 6 SemiBold"/>
        <family val="3"/>
        <charset val="129"/>
      </rPr>
      <t>휴대폰 성지</t>
    </r>
    <phoneticPr fontId="1" type="noConversion"/>
  </si>
  <si>
    <r>
      <rPr>
        <sz val="15"/>
        <color theme="0"/>
        <rFont val="페이퍼로지 4 Regular"/>
        <family val="3"/>
        <charset val="129"/>
      </rPr>
      <t>우리 동네 근처</t>
    </r>
    <r>
      <rPr>
        <sz val="15"/>
        <color rgb="FFFCE16C"/>
        <rFont val="페이퍼로지 5 Medium"/>
        <family val="3"/>
        <charset val="129"/>
      </rPr>
      <t xml:space="preserve"> </t>
    </r>
    <r>
      <rPr>
        <sz val="15"/>
        <color rgb="FFFCE16C"/>
        <rFont val="페이퍼로지 6 SemiBold"/>
        <family val="3"/>
        <charset val="129"/>
      </rPr>
      <t xml:space="preserve">휴대폰 성지 </t>
    </r>
    <phoneticPr fontId="1" type="noConversion"/>
  </si>
  <si>
    <r>
      <rPr>
        <sz val="11"/>
        <color theme="0"/>
        <rFont val="바탕"/>
        <family val="1"/>
        <charset val="129"/>
      </rPr>
      <t>　</t>
    </r>
    <r>
      <rPr>
        <sz val="11"/>
        <color theme="0"/>
        <rFont val="페이퍼로지 4 Regular"/>
        <family val="3"/>
        <charset val="129"/>
      </rPr>
      <t xml:space="preserve"> 원스톱 전환 서비스 : 신규 통신사 가입 시, 기존 통신사 서비스 해지를 한번에 처리할 수 있는 제도</t>
    </r>
    <phoneticPr fontId="1" type="noConversion"/>
  </si>
  <si>
    <t>④ 인터넷 신규 개통 시, 지원금 축소되오니 참고 부탁드립니다.</t>
    <phoneticPr fontId="1" type="noConversion"/>
  </si>
  <si>
    <r>
      <t xml:space="preserve">① 월 청구금액은 </t>
    </r>
    <r>
      <rPr>
        <sz val="11"/>
        <color rgb="FFFCE16C"/>
        <rFont val="페이퍼로지 5 Medium"/>
        <family val="3"/>
        <charset val="129"/>
      </rPr>
      <t>결합 할인이 제외된 예상 금액으로 결합 유형에 따라 청구 금액이 변동</t>
    </r>
    <r>
      <rPr>
        <sz val="11"/>
        <color theme="0"/>
        <rFont val="페이퍼로지 4 Regular"/>
        <family val="3"/>
        <charset val="129"/>
      </rPr>
      <t>될 수 있습니다.</t>
    </r>
    <r>
      <rPr>
        <sz val="9"/>
        <color theme="0"/>
        <rFont val="페이퍼로지 4 Regular"/>
        <family val="3"/>
        <charset val="129"/>
      </rPr>
      <t xml:space="preserve"> (부가세 포함 금액입니다)</t>
    </r>
    <phoneticPr fontId="1" type="noConversion"/>
  </si>
  <si>
    <r>
      <t xml:space="preserve">② 원스톱 전환 서비스를 기준으로 작성되었으며 </t>
    </r>
    <r>
      <rPr>
        <sz val="11"/>
        <color rgb="FFFCE16C"/>
        <rFont val="페이퍼로지 5 Medium"/>
        <family val="3"/>
        <charset val="129"/>
      </rPr>
      <t>원스톱 전환 서비스를 이용하지 않을 경우, 금액이 변동될 수 있습니다.</t>
    </r>
    <phoneticPr fontId="1" type="noConversion"/>
  </si>
  <si>
    <r>
      <t>③ 본 시세표는</t>
    </r>
    <r>
      <rPr>
        <sz val="11"/>
        <color rgb="FFFCE16C"/>
        <rFont val="페이퍼로지 5 Medium"/>
        <family val="3"/>
        <charset val="129"/>
      </rPr>
      <t xml:space="preserve"> 참고용이며 계약하신 조건에 따라 지원금이 변동될 수 있습니다.</t>
    </r>
    <r>
      <rPr>
        <sz val="11"/>
        <color theme="0"/>
        <rFont val="페이퍼로지 4 Regular"/>
        <family val="3"/>
        <charset val="129"/>
      </rPr>
      <t xml:space="preserve">   </t>
    </r>
    <r>
      <rPr>
        <sz val="9"/>
        <color theme="0"/>
        <rFont val="페이퍼로지 4 Regular"/>
        <family val="3"/>
        <charset val="129"/>
      </rPr>
      <t>TV셋탑, 안심서비스 등  상품 구성에 따라 변경될 수 있음</t>
    </r>
    <phoneticPr fontId="1" type="noConversion"/>
  </si>
  <si>
    <t/>
  </si>
  <si>
    <t>Y틴 27</t>
  </si>
  <si>
    <t>5g 슬림 4GB</t>
  </si>
  <si>
    <t>5G주니어</t>
  </si>
  <si>
    <r>
      <t xml:space="preserve">사용방법
</t>
    </r>
    <r>
      <rPr>
        <sz val="15"/>
        <color theme="0"/>
        <rFont val="페이퍼로지 4 Regular"/>
        <family val="3"/>
        <charset val="129"/>
      </rPr>
      <t xml:space="preserve">①  같이 첨부드린 폰트 설치 (압축 해제  후 파일 전체 선택 → 우클릭 → 설치
② 오프라인 단가일 경우 하단에 O 입력 (알파벳 o 입니다. 대문자 소문자 무관)
</t>
    </r>
    <r>
      <rPr>
        <sz val="20"/>
        <color rgb="FFFCE16C"/>
        <rFont val="페이퍼로지 5 Medium"/>
        <family val="3"/>
        <charset val="129"/>
      </rPr>
      <t>③  가급적이면 행 삭제는 자제 부탁드립니다</t>
    </r>
    <r>
      <rPr>
        <sz val="16"/>
        <color rgb="FFFCE16C"/>
        <rFont val="페이퍼로지 5 Medium"/>
        <family val="3"/>
        <charset val="129"/>
      </rPr>
      <t xml:space="preserve"> (수식 깨짐)</t>
    </r>
    <r>
      <rPr>
        <sz val="20"/>
        <color theme="0"/>
        <rFont val="페이퍼로지 5 Medium"/>
        <family val="3"/>
        <charset val="129"/>
      </rPr>
      <t xml:space="preserve">
</t>
    </r>
    <r>
      <rPr>
        <sz val="20"/>
        <color theme="0"/>
        <rFont val="바탕"/>
        <family val="1"/>
        <charset val="129"/>
      </rPr>
      <t>　</t>
    </r>
    <r>
      <rPr>
        <sz val="20"/>
        <color theme="0"/>
        <rFont val="페이퍼로지 5 Medium"/>
        <family val="3"/>
        <charset val="129"/>
      </rPr>
      <t xml:space="preserve"> </t>
    </r>
    <r>
      <rPr>
        <sz val="16"/>
        <color theme="0"/>
        <rFont val="페이퍼로지 3 Light"/>
        <family val="3"/>
        <charset val="129"/>
      </rPr>
      <t xml:space="preserve"> 삭제만 하면 상관 없는데, 삭제하고 나서 그냥 추가하면
</t>
    </r>
    <r>
      <rPr>
        <sz val="16"/>
        <color theme="0"/>
        <rFont val="바탕"/>
        <family val="1"/>
        <charset val="129"/>
      </rPr>
      <t>　</t>
    </r>
    <r>
      <rPr>
        <sz val="16"/>
        <color theme="0"/>
        <rFont val="페이퍼로지 3 Light"/>
        <family val="3"/>
        <charset val="129"/>
      </rPr>
      <t xml:space="preserve">   수식 깨집니다. 가급적 삭제 대신 행 숨기기로 사용해주세요</t>
    </r>
    <phoneticPr fontId="1" type="noConversion"/>
  </si>
  <si>
    <t>d</t>
    <phoneticPr fontId="1" type="noConversion"/>
  </si>
  <si>
    <t>갤럭시 Z 플립6(개봉)</t>
  </si>
  <si>
    <t>갤럭시 Z 폴드6(개봉)</t>
  </si>
  <si>
    <t>개봉폰 특가2</t>
    <phoneticPr fontId="1" type="noConversion"/>
  </si>
  <si>
    <t>요금제 90,000원부터~</t>
    <phoneticPr fontId="1" type="noConversion"/>
  </si>
  <si>
    <r>
      <t xml:space="preserve">① 본 단가표에 명시된 구매가는 </t>
    </r>
    <r>
      <rPr>
        <sz val="13"/>
        <color rgb="FFFCE16C"/>
        <rFont val="페이퍼로지 5 Medium"/>
        <family val="3"/>
        <charset val="129"/>
      </rPr>
      <t>공통지원금을 기준으로 작성</t>
    </r>
    <r>
      <rPr>
        <sz val="13"/>
        <color theme="0"/>
        <rFont val="페이퍼로지 3 Light"/>
        <family val="3"/>
        <charset val="129"/>
      </rPr>
      <t>되었으며,  선택약정 가입 시, 구매가가 변경될 수 있습니다.</t>
    </r>
    <phoneticPr fontId="1" type="noConversion"/>
  </si>
  <si>
    <r>
      <t xml:space="preserve">② </t>
    </r>
    <r>
      <rPr>
        <sz val="13"/>
        <color rgb="FFFCE16C"/>
        <rFont val="페이퍼로지 5 Medium"/>
        <family val="3"/>
        <charset val="129"/>
      </rPr>
      <t>할부는 최대 24개월까지 가능하며, 24개월을 초과한 할부는 개통 불가</t>
    </r>
    <r>
      <rPr>
        <sz val="13"/>
        <color theme="0"/>
        <rFont val="페이퍼로지 3 Light"/>
        <family val="3"/>
        <charset val="129"/>
      </rPr>
      <t>합니다.</t>
    </r>
    <phoneticPr fontId="1" type="noConversion"/>
  </si>
  <si>
    <r>
      <t xml:space="preserve">③ 할부 개통 시, </t>
    </r>
    <r>
      <rPr>
        <sz val="13"/>
        <color rgb="FFFCE16C"/>
        <rFont val="페이퍼로지 5 Medium"/>
        <family val="3"/>
        <charset val="129"/>
      </rPr>
      <t>원리금 균등 상환 방식으로 연 5.9%의 이자율</t>
    </r>
    <r>
      <rPr>
        <sz val="13"/>
        <color theme="0"/>
        <rFont val="페이퍼로지 3 Light"/>
        <family val="3"/>
        <charset val="129"/>
      </rPr>
      <t>이 적용됩니다.</t>
    </r>
    <phoneticPr fontId="1" type="noConversion"/>
  </si>
  <si>
    <r>
      <t xml:space="preserve">⑤ </t>
    </r>
    <r>
      <rPr>
        <sz val="13"/>
        <color rgb="FFFCE16C"/>
        <rFont val="페이퍼로지 5 Medium"/>
        <family val="3"/>
        <charset val="129"/>
      </rPr>
      <t xml:space="preserve">필수 유지기간 중 요금제 하향 또는 해지 시, 위약금이 청구될 수 있습니다. </t>
    </r>
    <phoneticPr fontId="1" type="noConversion"/>
  </si>
  <si>
    <t>7,990원~</t>
    <phoneticPr fontId="1" type="noConversion"/>
  </si>
  <si>
    <t>보험
(모델별 상이)</t>
    <phoneticPr fontId="1" type="noConversion"/>
  </si>
  <si>
    <t>우주패스
올리브영&amp;스벅
&amp;이마트24</t>
    <phoneticPr fontId="1" type="noConversion"/>
  </si>
  <si>
    <t>5GX프리미엄
요금제 사용시
무료!!!</t>
    <phoneticPr fontId="1" type="noConversion"/>
  </si>
  <si>
    <t>갤럭시S25(개봉)</t>
  </si>
  <si>
    <t>갤럭시S25+(개봉)</t>
  </si>
  <si>
    <t>갤럭시A17</t>
  </si>
  <si>
    <t>갤럭시S25+(개봉)</t>
    <phoneticPr fontId="1" type="noConversion"/>
  </si>
  <si>
    <t>저가폰</t>
    <phoneticPr fontId="1" type="noConversion"/>
  </si>
  <si>
    <t>키즈폰 &amp; 효도폰</t>
    <phoneticPr fontId="1" type="noConversion"/>
  </si>
  <si>
    <t>SKT
요금제 3.3만 or 키즈요금제</t>
    <phoneticPr fontId="1" type="noConversion"/>
  </si>
  <si>
    <t>KT
6.9만 요금제</t>
    <phoneticPr fontId="1" type="noConversion"/>
  </si>
  <si>
    <t>갤럭시S25FE</t>
    <phoneticPr fontId="1" type="noConversion"/>
  </si>
  <si>
    <t>&lt;&lt;&lt;&lt; 저가폰 요쪽 구간은 서식 일부러 없앰 // 직접입력해야함</t>
    <phoneticPr fontId="1" type="noConversion"/>
  </si>
  <si>
    <t>&lt;&lt;&lt;&lt; 저가폰 요쪽 구간은 서식 일부러 없앰 // 직접입력해야함//
오프라인 표시도 마찬가지</t>
    <phoneticPr fontId="1" type="noConversion"/>
  </si>
  <si>
    <t>심플 110GB</t>
    <phoneticPr fontId="1" type="noConversion"/>
  </si>
  <si>
    <t>69,000원</t>
    <phoneticPr fontId="1" type="noConversion"/>
  </si>
  <si>
    <t>갤럭시퀀텀6</t>
    <phoneticPr fontId="1" type="noConversion"/>
  </si>
  <si>
    <t>선약번이[-15]</t>
    <phoneticPr fontId="1" type="noConversion"/>
  </si>
  <si>
    <t>선약신규[-15]</t>
    <phoneticPr fontId="1" type="noConversion"/>
  </si>
  <si>
    <t>요금제 9만원부터~</t>
    <phoneticPr fontId="1" type="noConversion"/>
  </si>
  <si>
    <t>갤럭시 S26_256G</t>
  </si>
  <si>
    <t>갤럭시 S26_512G</t>
  </si>
  <si>
    <t>갤럭시 S26 플러스_256G</t>
  </si>
  <si>
    <t>갤럭시 S26 플러스_512G</t>
  </si>
  <si>
    <t>갤럭시 S26 울트라_256G</t>
  </si>
  <si>
    <t>갤럭시 S26 울트라_512G</t>
  </si>
  <si>
    <t>폰스팟 특가</t>
    <phoneticPr fontId="1" type="noConversion"/>
  </si>
  <si>
    <t>갤럭시S26 시리즈!!! 선택약정 기준 &amp; 더블스토리지 512G 적용 (KT는 9만 요금제&amp;무부가)</t>
    <phoneticPr fontId="1" type="noConversion"/>
  </si>
  <si>
    <t>갤럭시 Z 폴드6_512G</t>
  </si>
  <si>
    <t>11만 요금제~</t>
    <phoneticPr fontId="1" type="noConversion"/>
  </si>
  <si>
    <t>폼폼푸린 키즈폰</t>
  </si>
  <si>
    <t>ZEM플랜 베스트</t>
  </si>
  <si>
    <t>갤럭시A17_ZEM포켓피스</t>
  </si>
  <si>
    <t>갤럭시S26 시리즈!!! 행사중!! 가격 문의 먼저 하세요!</t>
    <phoneticPr fontId="1" type="noConversion"/>
  </si>
  <si>
    <t>Y주니어 19.8</t>
  </si>
  <si>
    <t>25만원</t>
    <phoneticPr fontId="1" type="noConversion"/>
  </si>
  <si>
    <r>
      <t>80만원 +10만원</t>
    </r>
    <r>
      <rPr>
        <sz val="9"/>
        <color theme="1" tint="0.14999847407452621"/>
        <rFont val="페이퍼로지 4 Regular"/>
        <family val="3"/>
        <charset val="129"/>
      </rPr>
      <t>(상품권)</t>
    </r>
    <phoneticPr fontId="1" type="noConversion"/>
  </si>
  <si>
    <r>
      <t>65만원 + 7만원</t>
    </r>
    <r>
      <rPr>
        <sz val="9"/>
        <color theme="1" tint="0.14999847407452621"/>
        <rFont val="페이퍼로지 4 Regular"/>
        <family val="3"/>
        <charset val="129"/>
      </rPr>
      <t>(상품권)</t>
    </r>
    <phoneticPr fontId="1" type="noConversion"/>
  </si>
  <si>
    <t>갤럭시 A17</t>
  </si>
  <si>
    <t>아이폰에어_1TB</t>
  </si>
  <si>
    <t>교보문구+구글ONE 패키지 : 5만원
V컬러링음악감상+벨링콘텐츠 : 4만원
휴대폰 보험 : 4만원</t>
    <phoneticPr fontId="1" type="noConversion"/>
  </si>
  <si>
    <t>16,500원</t>
    <phoneticPr fontId="1" type="noConversion"/>
  </si>
  <si>
    <t>교보문구+
구글ONE 패키지</t>
    <phoneticPr fontId="1" type="noConversion"/>
  </si>
  <si>
    <t>KT 4월 인터넷 / IPTV 지원금</t>
    <phoneticPr fontId="1" type="noConversion"/>
  </si>
  <si>
    <t>아이폰15_512G</t>
  </si>
  <si>
    <t>아이폰15플러스_512G</t>
  </si>
  <si>
    <t>아이폰16_512G</t>
  </si>
  <si>
    <t>아이폰16프로_512G</t>
  </si>
  <si>
    <t>아이폰16프로맥스_512G</t>
  </si>
  <si>
    <t>아이폰15프로맥스_256G</t>
  </si>
  <si>
    <t>5G 심플30GB</t>
  </si>
  <si>
    <r>
      <rPr>
        <sz val="12"/>
        <color theme="1"/>
        <rFont val="페이퍼로지 4 Regular"/>
        <family val="3"/>
        <charset val="129"/>
      </rPr>
      <t>4개월</t>
    </r>
    <r>
      <rPr>
        <sz val="11"/>
        <color theme="1"/>
        <rFont val="페이퍼로지 4 Regular"/>
        <family val="3"/>
        <charset val="129"/>
      </rPr>
      <t xml:space="preserve">
</t>
    </r>
    <phoneticPr fontId="1" type="noConversion"/>
  </si>
  <si>
    <t xml:space="preserve">필수팩L: 7만원 / 보험:2만원
</t>
    <phoneticPr fontId="1" type="noConversion"/>
  </si>
  <si>
    <t>SKT 5월 인터넷 / IPTV 지원금</t>
    <phoneticPr fontId="1" type="noConversion"/>
  </si>
  <si>
    <t>갤럭시점프4</t>
  </si>
  <si>
    <t>갤럭시 점프4</t>
    <phoneticPr fontId="1" type="noConversion"/>
  </si>
  <si>
    <t>갤럭시 A17</t>
    <phoneticPr fontId="1" type="noConversion"/>
  </si>
  <si>
    <t>5G 키즈 29</t>
  </si>
  <si>
    <t>키즈폰 무너2</t>
  </si>
  <si>
    <t>플러스 플랜115</t>
  </si>
  <si>
    <t>(넷플릭스) 플러스 플랜115</t>
  </si>
  <si>
    <t>플러스 플랜115</t>
    <phoneticPr fontId="1" type="noConversion"/>
  </si>
  <si>
    <t>O</t>
    <phoneticPr fontId="1" type="noConversion"/>
  </si>
  <si>
    <t>LG U+ 5월 인터넷 / IPTV 지원금</t>
    <phoneticPr fontId="1" type="noConversion"/>
  </si>
  <si>
    <t>갤럭시Z폴드7(개봉)</t>
  </si>
  <si>
    <t>갤럭시Z플립7(개봉)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</si>
</sst>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76" formatCode="&quot;월&quot;\ #,000&quot;원&quot;"/>
    <numFmt numFmtId="177" formatCode="General;;"/>
    <numFmt numFmtId="178" formatCode="General;;\-"/>
  </numFmts>
  <fonts count="10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4"/>
      <color rgb="FF000000"/>
      <name val="Noto Sans KR"/>
      <family val="3"/>
      <charset val="129"/>
    </font>
    <font>
      <sz val="14"/>
      <color rgb="FF000000"/>
      <name val="Noto Sans KR"/>
      <family val="3"/>
      <charset val="129"/>
    </font>
    <font>
      <b/>
      <sz val="16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4"/>
      <color theme="0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1"/>
      <color theme="1" tint="0.14999847407452621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sz val="10.5"/>
      <color theme="1"/>
      <name val="맑은 고딕"/>
      <family val="3"/>
      <charset val="129"/>
      <scheme val="minor"/>
    </font>
    <font>
      <b/>
      <sz val="10.5"/>
      <color theme="1"/>
      <name val="맑은 고딕"/>
      <family val="3"/>
      <charset val="129"/>
      <scheme val="minor"/>
    </font>
    <font>
      <b/>
      <sz val="10"/>
      <color theme="1" tint="0.14999847407452621"/>
      <name val="맑은 고딕"/>
      <family val="3"/>
      <charset val="129"/>
      <scheme val="minor"/>
    </font>
    <font>
      <b/>
      <sz val="11"/>
      <color rgb="FFEE0000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6"/>
      <color theme="0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sz val="11"/>
      <color rgb="FFFFFFCC"/>
      <name val="페이퍼로지 5 Medium"/>
      <family val="3"/>
      <charset val="129"/>
    </font>
    <font>
      <sz val="11"/>
      <color theme="1"/>
      <name val="페이퍼로지 5 Medium"/>
      <family val="3"/>
      <charset val="129"/>
    </font>
    <font>
      <sz val="11"/>
      <color rgb="FFF4FF89"/>
      <name val="페이퍼로지 5 Medium"/>
      <family val="3"/>
      <charset val="129"/>
    </font>
    <font>
      <sz val="12"/>
      <color theme="1"/>
      <name val="페이퍼로지 5 Medium"/>
      <family val="3"/>
      <charset val="129"/>
    </font>
    <font>
      <sz val="12"/>
      <color theme="0"/>
      <name val="페이퍼로지 5 Medium"/>
      <family val="3"/>
      <charset val="129"/>
    </font>
    <font>
      <sz val="10"/>
      <color theme="1"/>
      <name val="페이퍼로지 5 Medium"/>
      <family val="3"/>
      <charset val="129"/>
    </font>
    <font>
      <sz val="18"/>
      <color theme="1"/>
      <name val="페이퍼로지 5 Medium"/>
      <family val="3"/>
      <charset val="129"/>
    </font>
    <font>
      <sz val="10"/>
      <color theme="0"/>
      <name val="페이퍼로지 5 Medium"/>
      <family val="3"/>
      <charset val="129"/>
    </font>
    <font>
      <sz val="13"/>
      <color theme="0"/>
      <name val="페이퍼로지 5 Medium"/>
      <family val="3"/>
      <charset val="129"/>
    </font>
    <font>
      <sz val="20"/>
      <color theme="0"/>
      <name val="페이퍼로지 7 Bold"/>
      <family val="3"/>
      <charset val="129"/>
    </font>
    <font>
      <sz val="18"/>
      <color theme="0"/>
      <name val="페이퍼로지 5 Medium"/>
      <family val="3"/>
      <charset val="129"/>
    </font>
    <font>
      <sz val="23"/>
      <color rgb="FFFCE16C"/>
      <name val="페이퍼로지 5 Medium"/>
      <family val="3"/>
      <charset val="129"/>
    </font>
    <font>
      <sz val="12"/>
      <color rgb="FFC00000"/>
      <name val="페이퍼로지 5 Medium"/>
      <family val="3"/>
      <charset val="129"/>
    </font>
    <font>
      <sz val="12"/>
      <color theme="4" tint="-0.499984740745262"/>
      <name val="페이퍼로지 5 Medium"/>
      <family val="3"/>
      <charset val="129"/>
    </font>
    <font>
      <sz val="12"/>
      <color theme="8" tint="-0.499984740745262"/>
      <name val="페이퍼로지 5 Medium"/>
      <family val="3"/>
      <charset val="129"/>
    </font>
    <font>
      <sz val="16"/>
      <color theme="0"/>
      <name val="페이퍼로지 5 Medium"/>
      <family val="3"/>
      <charset val="129"/>
    </font>
    <font>
      <sz val="11"/>
      <color theme="0"/>
      <name val="페이퍼로지 5 Medium"/>
      <family val="3"/>
      <charset val="129"/>
    </font>
    <font>
      <sz val="11"/>
      <color theme="1" tint="0.14999847407452621"/>
      <name val="페이퍼로지 5 Medium"/>
      <family val="3"/>
      <charset val="129"/>
    </font>
    <font>
      <sz val="14"/>
      <color theme="0"/>
      <name val="페이퍼로지 7 Bold"/>
      <family val="3"/>
      <charset val="129"/>
    </font>
    <font>
      <sz val="16"/>
      <color theme="0"/>
      <name val="페이퍼로지 7 Bold"/>
      <family val="3"/>
      <charset val="129"/>
    </font>
    <font>
      <sz val="18"/>
      <color theme="0"/>
      <name val="페이퍼로지 7 Bold"/>
      <family val="3"/>
      <charset val="129"/>
    </font>
    <font>
      <sz val="12"/>
      <color theme="0"/>
      <name val="페이퍼로지 4 Regular"/>
      <family val="3"/>
      <charset val="129"/>
    </font>
    <font>
      <sz val="14"/>
      <color rgb="FFC00000"/>
      <name val="페이퍼로지 7 Bold"/>
      <family val="3"/>
      <charset val="129"/>
    </font>
    <font>
      <sz val="14"/>
      <color theme="4" tint="-0.499984740745262"/>
      <name val="페이퍼로지 7 Bold"/>
      <family val="3"/>
      <charset val="129"/>
    </font>
    <font>
      <sz val="14"/>
      <color theme="8" tint="-0.499984740745262"/>
      <name val="페이퍼로지 7 Bold"/>
      <family val="3"/>
      <charset val="129"/>
    </font>
    <font>
      <sz val="12"/>
      <color theme="1"/>
      <name val="페이퍼로지 4 Regular"/>
      <family val="3"/>
      <charset val="129"/>
    </font>
    <font>
      <sz val="12"/>
      <color theme="1"/>
      <name val="페이퍼로지 6 SemiBold"/>
      <family val="3"/>
      <charset val="129"/>
    </font>
    <font>
      <sz val="11"/>
      <color theme="1"/>
      <name val="페이퍼로지 4 Regular"/>
      <family val="3"/>
      <charset val="129"/>
    </font>
    <font>
      <sz val="9"/>
      <color theme="1"/>
      <name val="페이퍼로지 4 Regular"/>
      <family val="3"/>
      <charset val="129"/>
    </font>
    <font>
      <sz val="10"/>
      <color theme="1"/>
      <name val="페이퍼로지 4 Regular"/>
      <family val="3"/>
      <charset val="129"/>
    </font>
    <font>
      <sz val="11"/>
      <color theme="1" tint="0.14999847407452621"/>
      <name val="페이퍼로지 7 Bold"/>
      <family val="3"/>
      <charset val="129"/>
    </font>
    <font>
      <sz val="14"/>
      <color theme="1" tint="0.14999847407452621"/>
      <name val="페이퍼로지 7 Bold"/>
      <family val="3"/>
      <charset val="129"/>
    </font>
    <font>
      <sz val="11"/>
      <color rgb="FFFF0000"/>
      <name val="페이퍼로지 4 Regular"/>
      <family val="3"/>
      <charset val="129"/>
    </font>
    <font>
      <sz val="16"/>
      <color theme="0"/>
      <name val="페이퍼로지 8 ExtraBold"/>
      <family val="3"/>
      <charset val="129"/>
    </font>
    <font>
      <sz val="18"/>
      <color theme="0"/>
      <name val="페이퍼로지 8 ExtraBold"/>
      <family val="3"/>
      <charset val="129"/>
    </font>
    <font>
      <sz val="20"/>
      <color theme="0"/>
      <name val="페이퍼로지 5 Medium"/>
      <family val="3"/>
      <charset val="129"/>
    </font>
    <font>
      <sz val="20"/>
      <color rgb="FFFCE16C"/>
      <name val="페이퍼로지 5 Medium"/>
      <family val="3"/>
      <charset val="129"/>
    </font>
    <font>
      <sz val="20"/>
      <color theme="0"/>
      <name val="페이퍼로지 4 Regular"/>
      <family val="3"/>
      <charset val="129"/>
    </font>
    <font>
      <sz val="20"/>
      <color rgb="FFFCE16C"/>
      <name val="페이퍼로지 6 SemiBold"/>
      <family val="3"/>
      <charset val="129"/>
    </font>
    <font>
      <sz val="12"/>
      <color theme="1" tint="0.14999847407452621"/>
      <name val="페이퍼로지 5 Medium"/>
      <family val="3"/>
      <charset val="129"/>
    </font>
    <font>
      <sz val="16"/>
      <color rgb="FFFF0000"/>
      <name val="페이퍼로지 5 Medium"/>
      <family val="3"/>
      <charset val="129"/>
    </font>
    <font>
      <sz val="11"/>
      <color theme="1" tint="0.14999847407452621"/>
      <name val="페이퍼로지 4 Regular"/>
      <family val="3"/>
      <charset val="129"/>
    </font>
    <font>
      <sz val="11"/>
      <color theme="0"/>
      <name val="페이퍼로지 4 Regular"/>
      <family val="3"/>
      <charset val="129"/>
    </font>
    <font>
      <sz val="13"/>
      <color theme="0"/>
      <name val="페이퍼로지 3 Light"/>
      <family val="3"/>
      <charset val="129"/>
    </font>
    <font>
      <sz val="18"/>
      <color rgb="FFC00000"/>
      <name val="페이퍼로지 7 Bold"/>
      <family val="3"/>
      <charset val="129"/>
    </font>
    <font>
      <sz val="16"/>
      <color theme="1"/>
      <name val="페이퍼로지 8 ExtraBold"/>
      <family val="3"/>
      <charset val="129"/>
    </font>
    <font>
      <sz val="11"/>
      <color rgb="FFEE0000"/>
      <name val="페이퍼로지 4 Regular"/>
      <family val="3"/>
      <charset val="129"/>
    </font>
    <font>
      <sz val="9"/>
      <color theme="1" tint="0.14999847407452621"/>
      <name val="페이퍼로지 4 Regular"/>
      <family val="3"/>
      <charset val="129"/>
    </font>
    <font>
      <sz val="10"/>
      <color theme="1" tint="0.14999847407452621"/>
      <name val="페이퍼로지 4 Regular"/>
      <family val="3"/>
      <charset val="129"/>
    </font>
    <font>
      <sz val="8"/>
      <color theme="1" tint="0.14999847407452621"/>
      <name val="페이퍼로지 4 Regular"/>
      <family val="3"/>
      <charset val="129"/>
    </font>
    <font>
      <sz val="11"/>
      <color rgb="FFC00000"/>
      <name val="페이퍼로지 6 SemiBold"/>
      <family val="3"/>
      <charset val="129"/>
    </font>
    <font>
      <sz val="11"/>
      <color theme="1"/>
      <name val="페이퍼로지 6 SemiBold"/>
      <family val="3"/>
      <charset val="129"/>
    </font>
    <font>
      <sz val="11"/>
      <color rgb="FFC00000"/>
      <name val="페이퍼로지 7 Bold"/>
      <family val="3"/>
      <charset val="129"/>
    </font>
    <font>
      <sz val="11"/>
      <color rgb="FFC00000"/>
      <name val="페이퍼로지 4 Regular"/>
      <family val="3"/>
      <charset val="129"/>
    </font>
    <font>
      <sz val="10"/>
      <color theme="1" tint="0.14999847407452621"/>
      <name val="페이퍼로지 3 Light"/>
      <family val="3"/>
      <charset val="129"/>
    </font>
    <font>
      <b/>
      <sz val="11"/>
      <color theme="1"/>
      <name val="페이퍼로지 5 Medium"/>
      <family val="3"/>
      <charset val="129"/>
    </font>
    <font>
      <b/>
      <sz val="10"/>
      <color theme="1"/>
      <name val="페이퍼로지 5 Medium"/>
      <family val="3"/>
      <charset val="129"/>
    </font>
    <font>
      <sz val="15"/>
      <color theme="0"/>
      <name val="페이퍼로지 5 Medium"/>
      <family val="3"/>
      <charset val="129"/>
    </font>
    <font>
      <sz val="15"/>
      <color theme="0"/>
      <name val="페이퍼로지 4 Regular"/>
      <family val="3"/>
      <charset val="129"/>
    </font>
    <font>
      <sz val="15"/>
      <color rgb="FFFCE16C"/>
      <name val="페이퍼로지 5 Medium"/>
      <family val="3"/>
      <charset val="129"/>
    </font>
    <font>
      <sz val="15"/>
      <color rgb="FFFCE16C"/>
      <name val="페이퍼로지 6 SemiBold"/>
      <family val="3"/>
      <charset val="129"/>
    </font>
    <font>
      <sz val="11"/>
      <color theme="0"/>
      <name val="바탕"/>
      <family val="1"/>
      <charset val="129"/>
    </font>
    <font>
      <sz val="11"/>
      <color theme="0"/>
      <name val="페이퍼로지 4 Regular"/>
      <family val="1"/>
      <charset val="129"/>
    </font>
    <font>
      <sz val="9"/>
      <color theme="0"/>
      <name val="페이퍼로지 4 Regular"/>
      <family val="3"/>
      <charset val="129"/>
    </font>
    <font>
      <sz val="11"/>
      <color rgb="FFFCE16C"/>
      <name val="페이퍼로지 5 Medium"/>
      <family val="3"/>
      <charset val="129"/>
    </font>
    <font>
      <sz val="16"/>
      <color rgb="FFA40000"/>
      <name val="페이퍼로지 7 Bold"/>
      <family val="3"/>
      <charset val="129"/>
    </font>
    <font>
      <sz val="24"/>
      <color theme="0"/>
      <name val="페이퍼로지 5 Medium"/>
      <family val="3"/>
      <charset val="129"/>
    </font>
    <font>
      <sz val="16"/>
      <color theme="0"/>
      <name val="페이퍼로지 3 Light"/>
      <family val="3"/>
      <charset val="129"/>
    </font>
    <font>
      <sz val="20"/>
      <color theme="0"/>
      <name val="바탕"/>
      <family val="1"/>
      <charset val="129"/>
    </font>
    <font>
      <sz val="16"/>
      <color theme="0"/>
      <name val="바탕"/>
      <family val="1"/>
      <charset val="129"/>
    </font>
    <font>
      <sz val="16"/>
      <color rgb="FFFCE16C"/>
      <name val="페이퍼로지 5 Medium"/>
      <family val="3"/>
      <charset val="129"/>
    </font>
    <font>
      <sz val="14"/>
      <color theme="0"/>
      <name val="페이퍼로지 5 Medium"/>
      <family val="3"/>
      <charset val="129"/>
    </font>
    <font>
      <sz val="11"/>
      <color theme="1"/>
      <name val="맑은 고딕"/>
      <family val="3"/>
      <charset val="129"/>
    </font>
    <font>
      <sz val="13"/>
      <color rgb="FFFCE16C"/>
      <name val="페이퍼로지 5 Medium"/>
      <family val="3"/>
      <charset val="129"/>
    </font>
    <font>
      <sz val="14"/>
      <color rgb="FFC00000"/>
      <name val="페이퍼로지 6 SemiBold"/>
      <family val="3"/>
      <charset val="129"/>
    </font>
    <font>
      <sz val="12"/>
      <color theme="0"/>
      <name val="페이퍼로지 7 Bold"/>
      <family val="3"/>
      <charset val="129"/>
    </font>
    <font>
      <b/>
      <sz val="14"/>
      <color theme="0"/>
      <name val="페이퍼로지 7 Bold"/>
      <family val="3"/>
      <charset val="129"/>
    </font>
    <font>
      <b/>
      <sz val="10.5"/>
      <color theme="0"/>
      <name val="페이퍼로지 7 Bold"/>
      <family val="3"/>
      <charset val="129"/>
    </font>
  </fonts>
  <fills count="29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1B4D7F"/>
        <bgColor indexed="64"/>
      </patternFill>
    </fill>
    <fill>
      <patternFill patternType="solid">
        <fgColor rgb="FFCC0000"/>
        <bgColor indexed="64"/>
      </patternFill>
    </fill>
    <fill>
      <patternFill patternType="solid">
        <fgColor rgb="FF6600CC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F5D5"/>
        <bgColor indexed="64"/>
      </patternFill>
    </fill>
    <fill>
      <patternFill patternType="solid">
        <fgColor rgb="FFFFF3F3"/>
        <bgColor indexed="64"/>
      </patternFill>
    </fill>
    <fill>
      <patternFill patternType="solid">
        <fgColor rgb="FFE9F2FB"/>
        <bgColor indexed="64"/>
      </patternFill>
    </fill>
    <fill>
      <patternFill patternType="solid">
        <fgColor rgb="FFF7EFFF"/>
        <bgColor indexed="64"/>
      </patternFill>
    </fill>
    <fill>
      <patternFill patternType="solid">
        <fgColor theme="0" tint="-4.9989318521683403E-2"/>
        <bgColor theme="0" tint="-0.14999847407452621"/>
      </patternFill>
    </fill>
    <fill>
      <patternFill patternType="solid">
        <fgColor rgb="FF3617CE"/>
        <bgColor indexed="64"/>
      </patternFill>
    </fill>
    <fill>
      <patternFill patternType="solid">
        <fgColor rgb="FF6044EA"/>
        <bgColor indexed="64"/>
      </patternFill>
    </fill>
    <fill>
      <patternFill patternType="solid">
        <fgColor rgb="FFEC0B8E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1717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5E5"/>
        <bgColor indexed="64"/>
      </patternFill>
    </fill>
    <fill>
      <patternFill patternType="solid">
        <fgColor rgb="FFD6E6F6"/>
        <bgColor indexed="64"/>
      </patternFill>
    </fill>
    <fill>
      <patternFill patternType="solid">
        <fgColor rgb="FFE7D9E5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A4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77">
    <border>
      <left/>
      <right/>
      <top/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medium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indexed="64"/>
      </right>
      <top/>
      <bottom style="hair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medium">
        <color indexed="64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auto="1"/>
      </right>
      <top/>
      <bottom style="hair">
        <color auto="1"/>
      </bottom>
      <diagonal/>
    </border>
    <border>
      <left/>
      <right/>
      <top style="hair">
        <color auto="1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auto="1"/>
      </left>
      <right style="thin">
        <color indexed="64"/>
      </right>
      <top style="hair">
        <color indexed="64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/>
      <top style="thin">
        <color theme="1" tint="0.499984740745262"/>
      </top>
      <bottom style="hair">
        <color indexed="64"/>
      </bottom>
      <diagonal/>
    </border>
    <border>
      <left/>
      <right style="hair">
        <color auto="1"/>
      </right>
      <top style="thin">
        <color theme="1" tint="0.499984740745262"/>
      </top>
      <bottom style="hair">
        <color auto="1"/>
      </bottom>
      <diagonal/>
    </border>
    <border>
      <left style="hair">
        <color indexed="64"/>
      </left>
      <right/>
      <top style="thin">
        <color theme="1" tint="0.499984740745262"/>
      </top>
      <bottom style="hair">
        <color indexed="64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hair">
        <color indexed="64"/>
      </bottom>
      <diagonal/>
    </border>
    <border>
      <left style="hair">
        <color auto="1"/>
      </left>
      <right style="thin">
        <color theme="1" tint="0.499984740745262"/>
      </right>
      <top style="hair">
        <color indexed="64"/>
      </top>
      <bottom/>
      <diagonal/>
    </border>
    <border>
      <left/>
      <right/>
      <top style="hair">
        <color auto="1"/>
      </top>
      <bottom style="thin">
        <color theme="1" tint="0.499984740745262"/>
      </bottom>
      <diagonal/>
    </border>
    <border>
      <left style="hair">
        <color auto="1"/>
      </left>
      <right/>
      <top style="hair">
        <color auto="1"/>
      </top>
      <bottom style="thin">
        <color theme="1" tint="0.499984740745262"/>
      </bottom>
      <diagonal/>
    </border>
    <border>
      <left style="hair">
        <color auto="1"/>
      </left>
      <right style="thin">
        <color theme="1" tint="0.499984740745262"/>
      </right>
      <top style="hair">
        <color auto="1"/>
      </top>
      <bottom style="thin">
        <color theme="1" tint="0.499984740745262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thin">
        <color theme="1" tint="0.499984740745262"/>
      </bottom>
      <diagonal/>
    </border>
    <border>
      <left/>
      <right style="hair">
        <color auto="1"/>
      </right>
      <top style="hair">
        <color indexed="64"/>
      </top>
      <bottom style="thin">
        <color theme="1" tint="0.499984740745262"/>
      </bottom>
      <diagonal/>
    </border>
    <border>
      <left/>
      <right/>
      <top style="thin">
        <color theme="1" tint="0.24994659260841701"/>
      </top>
      <bottom/>
      <diagonal/>
    </border>
    <border>
      <left/>
      <right style="thin">
        <color theme="1" tint="0.24994659260841701"/>
      </right>
      <top style="thin">
        <color theme="1" tint="0.24994659260841701"/>
      </top>
      <bottom/>
      <diagonal/>
    </border>
    <border>
      <left style="thin">
        <color theme="1" tint="0.24994659260841701"/>
      </left>
      <right/>
      <top/>
      <bottom style="thin">
        <color theme="1" tint="0.24994659260841701"/>
      </bottom>
      <diagonal/>
    </border>
    <border>
      <left/>
      <right/>
      <top/>
      <bottom style="thin">
        <color theme="1" tint="0.24994659260841701"/>
      </bottom>
      <diagonal/>
    </border>
    <border>
      <left/>
      <right style="thin">
        <color theme="1" tint="0.24994659260841701"/>
      </right>
      <top/>
      <bottom style="thin">
        <color theme="1" tint="0.24994659260841701"/>
      </bottom>
      <diagonal/>
    </border>
    <border>
      <left/>
      <right style="hair">
        <color auto="1"/>
      </right>
      <top/>
      <bottom style="thin">
        <color theme="1" tint="0.499984740745262"/>
      </bottom>
      <diagonal/>
    </border>
    <border>
      <left style="hair">
        <color auto="1"/>
      </left>
      <right style="hair">
        <color auto="1"/>
      </right>
      <top/>
      <bottom style="thin">
        <color theme="1" tint="0.499984740745262"/>
      </bottom>
      <diagonal/>
    </border>
    <border>
      <left style="thin">
        <color rgb="FFEC0B8E"/>
      </left>
      <right/>
      <top/>
      <bottom/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 style="thin">
        <color rgb="FFEC0B8E"/>
      </left>
      <right/>
      <top style="thin">
        <color rgb="FFEC0B8E"/>
      </top>
      <bottom/>
      <diagonal/>
    </border>
    <border>
      <left/>
      <right style="thin">
        <color rgb="FFEC0B8E"/>
      </right>
      <top style="thin">
        <color rgb="FFEC0B8E"/>
      </top>
      <bottom/>
      <diagonal/>
    </border>
    <border>
      <left style="thin">
        <color rgb="FFEC0B8E"/>
      </left>
      <right/>
      <top/>
      <bottom style="thin">
        <color rgb="FFEC0B8E"/>
      </bottom>
      <diagonal/>
    </border>
    <border>
      <left/>
      <right/>
      <top/>
      <bottom style="thin">
        <color rgb="FFEC0B8E"/>
      </bottom>
      <diagonal/>
    </border>
    <border>
      <left/>
      <right style="thin">
        <color theme="1" tint="0.24994659260841701"/>
      </right>
      <top/>
      <bottom/>
      <diagonal/>
    </border>
    <border>
      <left style="hair">
        <color auto="1"/>
      </left>
      <right/>
      <top style="thin">
        <color theme="1" tint="0.499984740745262"/>
      </top>
      <bottom/>
      <diagonal/>
    </border>
    <border>
      <left style="hair">
        <color auto="1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/>
      <top style="hair">
        <color auto="1"/>
      </top>
      <bottom/>
      <diagonal/>
    </border>
    <border>
      <left style="thin">
        <color theme="1" tint="0.499984740745262"/>
      </left>
      <right/>
      <top style="hair">
        <color auto="1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hair">
        <color auto="1"/>
      </bottom>
      <diagonal/>
    </border>
    <border>
      <left style="thin">
        <color theme="1" tint="0.499984740745262"/>
      </left>
      <right/>
      <top style="hair">
        <color auto="1"/>
      </top>
      <bottom style="hair">
        <color auto="1"/>
      </bottom>
      <diagonal/>
    </border>
    <border>
      <left/>
      <right style="thin">
        <color theme="1" tint="0.499984740745262"/>
      </right>
      <top style="hair">
        <color auto="1"/>
      </top>
      <bottom style="hair">
        <color auto="1"/>
      </bottom>
      <diagonal/>
    </border>
    <border>
      <left/>
      <right style="thin">
        <color theme="1" tint="0.499984740745262"/>
      </right>
      <top style="hair">
        <color auto="1"/>
      </top>
      <bottom style="thin">
        <color theme="1" tint="0.499984740745262"/>
      </bottom>
      <diagonal/>
    </border>
    <border>
      <left style="thin">
        <color theme="1" tint="0.499984740745262"/>
      </left>
      <right/>
      <top/>
      <bottom style="hair">
        <color auto="1"/>
      </bottom>
      <diagonal/>
    </border>
    <border>
      <left/>
      <right style="thin">
        <color theme="1" tint="0.499984740745262"/>
      </right>
      <top/>
      <bottom style="hair">
        <color auto="1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hair">
        <color indexed="64"/>
      </left>
      <right style="hair">
        <color indexed="64"/>
      </right>
      <top style="thin">
        <color theme="1" tint="0.499984740745262"/>
      </top>
      <bottom style="thin">
        <color theme="1" tint="0.499984740745262"/>
      </bottom>
      <diagonal/>
    </border>
    <border>
      <left style="hair">
        <color indexed="64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hair">
        <color auto="1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theme="1" tint="0.499984740745262"/>
      </right>
      <top style="hair">
        <color indexed="64"/>
      </top>
      <bottom style="hair">
        <color indexed="64"/>
      </bottom>
      <diagonal/>
    </border>
    <border>
      <left style="thin">
        <color theme="1" tint="0.499984740745262"/>
      </left>
      <right style="hair">
        <color indexed="64"/>
      </right>
      <top style="hair">
        <color indexed="64"/>
      </top>
      <bottom style="thin">
        <color theme="1" tint="0.499984740745262"/>
      </bottom>
      <diagonal/>
    </border>
    <border>
      <left style="thin">
        <color theme="1" tint="0.499984740745262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theme="1" tint="0.499984740745262"/>
      </right>
      <top/>
      <bottom style="hair">
        <color indexed="64"/>
      </bottom>
      <diagonal/>
    </border>
    <border>
      <left style="thin">
        <color theme="1" tint="0.499984740745262"/>
      </left>
      <right style="hair">
        <color indexed="64"/>
      </right>
      <top style="thin">
        <color theme="1" tint="0.499984740745262"/>
      </top>
      <bottom style="thin">
        <color theme="1" tint="0.499984740745262"/>
      </bottom>
      <diagonal/>
    </border>
    <border>
      <left style="hair">
        <color indexed="64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2" tint="-0.499984740745262"/>
      </top>
      <bottom/>
      <diagonal/>
    </border>
    <border>
      <left/>
      <right style="thin">
        <color theme="2" tint="-0.499984740745262"/>
      </right>
      <top style="thin">
        <color theme="2" tint="-0.499984740745262"/>
      </top>
      <bottom/>
      <diagonal/>
    </border>
    <border>
      <left style="thin">
        <color theme="2" tint="-0.24994659260841701"/>
      </left>
      <right/>
      <top style="thin">
        <color theme="2" tint="-0.24994659260841701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theme="2" tint="-0.24994659260841701"/>
      </top>
      <bottom style="hair">
        <color indexed="64"/>
      </bottom>
      <diagonal/>
    </border>
    <border>
      <left style="hair">
        <color indexed="64"/>
      </left>
      <right/>
      <top style="thin">
        <color theme="2" tint="-0.24994659260841701"/>
      </top>
      <bottom style="hair">
        <color indexed="64"/>
      </bottom>
      <diagonal/>
    </border>
    <border>
      <left/>
      <right style="hair">
        <color auto="1"/>
      </right>
      <top style="thin">
        <color theme="2" tint="-0.24994659260841701"/>
      </top>
      <bottom style="hair">
        <color indexed="64"/>
      </bottom>
      <diagonal/>
    </border>
    <border>
      <left/>
      <right/>
      <top style="thin">
        <color theme="2" tint="-0.24994659260841701"/>
      </top>
      <bottom style="hair">
        <color indexed="64"/>
      </bottom>
      <diagonal/>
    </border>
    <border>
      <left/>
      <right style="thin">
        <color theme="2" tint="-0.24994659260841701"/>
      </right>
      <top style="thin">
        <color theme="2" tint="-0.24994659260841701"/>
      </top>
      <bottom style="hair">
        <color indexed="64"/>
      </bottom>
      <diagonal/>
    </border>
    <border>
      <left style="thin">
        <color theme="2" tint="-0.24994659260841701"/>
      </left>
      <right/>
      <top style="hair">
        <color indexed="64"/>
      </top>
      <bottom style="hair">
        <color indexed="64"/>
      </bottom>
      <diagonal/>
    </border>
    <border>
      <left/>
      <right style="thin">
        <color theme="2" tint="-0.24994659260841701"/>
      </right>
      <top style="hair">
        <color indexed="64"/>
      </top>
      <bottom style="hair">
        <color indexed="64"/>
      </bottom>
      <diagonal/>
    </border>
    <border>
      <left style="thin">
        <color theme="2" tint="-0.24994659260841701"/>
      </left>
      <right/>
      <top style="hair">
        <color indexed="64"/>
      </top>
      <bottom style="thin">
        <color theme="2" tint="-0.24994659260841701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thin">
        <color theme="2" tint="-0.24994659260841701"/>
      </bottom>
      <diagonal/>
    </border>
    <border>
      <left style="hair">
        <color auto="1"/>
      </left>
      <right/>
      <top style="hair">
        <color indexed="64"/>
      </top>
      <bottom style="thin">
        <color theme="2" tint="-0.24994659260841701"/>
      </bottom>
      <diagonal/>
    </border>
    <border>
      <left/>
      <right style="hair">
        <color auto="1"/>
      </right>
      <top style="hair">
        <color indexed="64"/>
      </top>
      <bottom style="thin">
        <color theme="2" tint="-0.24994659260841701"/>
      </bottom>
      <diagonal/>
    </border>
    <border>
      <left/>
      <right/>
      <top style="hair">
        <color indexed="64"/>
      </top>
      <bottom style="thin">
        <color theme="2" tint="-0.24994659260841701"/>
      </bottom>
      <diagonal/>
    </border>
    <border>
      <left/>
      <right style="thin">
        <color theme="2" tint="-0.24994659260841701"/>
      </right>
      <top style="hair">
        <color indexed="64"/>
      </top>
      <bottom style="thin">
        <color theme="2" tint="-0.24994659260841701"/>
      </bottom>
      <diagonal/>
    </border>
    <border>
      <left style="thin">
        <color theme="2" tint="-0.24994659260841701"/>
      </left>
      <right style="hair">
        <color indexed="64"/>
      </right>
      <top style="thin">
        <color theme="2" tint="-0.24994659260841701"/>
      </top>
      <bottom style="hair">
        <color indexed="64"/>
      </bottom>
      <diagonal/>
    </border>
    <border>
      <left style="hair">
        <color indexed="64"/>
      </left>
      <right style="thin">
        <color theme="2" tint="-0.24994659260841701"/>
      </right>
      <top style="thin">
        <color theme="2" tint="-0.24994659260841701"/>
      </top>
      <bottom style="hair">
        <color indexed="64"/>
      </bottom>
      <diagonal/>
    </border>
    <border>
      <left style="thin">
        <color theme="2" tint="-0.24994659260841701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theme="2" tint="-0.24994659260841701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theme="2" tint="-0.24994659260841701"/>
      </right>
      <top style="hair">
        <color indexed="64"/>
      </top>
      <bottom style="thin">
        <color theme="2" tint="-0.24994659260841701"/>
      </bottom>
      <diagonal/>
    </border>
    <border>
      <left/>
      <right/>
      <top style="thin">
        <color theme="2" tint="-0.24994659260841701"/>
      </top>
      <bottom/>
      <diagonal/>
    </border>
    <border>
      <left style="hair">
        <color auto="1"/>
      </left>
      <right/>
      <top style="thin">
        <color theme="2" tint="-0.24994659260841701"/>
      </top>
      <bottom/>
      <diagonal/>
    </border>
    <border>
      <left style="hair">
        <color auto="1"/>
      </left>
      <right style="thin">
        <color theme="2" tint="-0.24994659260841701"/>
      </right>
      <top style="thin">
        <color theme="2" tint="-0.24994659260841701"/>
      </top>
      <bottom/>
      <diagonal/>
    </border>
    <border>
      <left style="hair">
        <color auto="1"/>
      </left>
      <right style="thin">
        <color theme="2" tint="-0.24994659260841701"/>
      </right>
      <top style="hair">
        <color indexed="64"/>
      </top>
      <bottom/>
      <diagonal/>
    </border>
    <border>
      <left/>
      <right style="hair">
        <color auto="1"/>
      </right>
      <top/>
      <bottom style="thin">
        <color theme="2" tint="-0.24994659260841701"/>
      </bottom>
      <diagonal/>
    </border>
    <border>
      <left style="hair">
        <color auto="1"/>
      </left>
      <right style="hair">
        <color auto="1"/>
      </right>
      <top/>
      <bottom style="thin">
        <color theme="2" tint="-0.24994659260841701"/>
      </bottom>
      <diagonal/>
    </border>
    <border>
      <left style="hair">
        <color auto="1"/>
      </left>
      <right style="thin">
        <color theme="2" tint="-0.499984740745262"/>
      </right>
      <top/>
      <bottom style="thin">
        <color theme="2" tint="-0.24994659260841701"/>
      </bottom>
      <diagonal/>
    </border>
    <border>
      <left style="thin">
        <color theme="2" tint="-0.24994659260841701"/>
      </left>
      <right/>
      <top/>
      <bottom style="hair">
        <color indexed="64"/>
      </bottom>
      <diagonal/>
    </border>
    <border>
      <left/>
      <right style="thin">
        <color theme="2" tint="-0.24994659260841701"/>
      </right>
      <top/>
      <bottom style="hair">
        <color indexed="64"/>
      </bottom>
      <diagonal/>
    </border>
    <border>
      <left style="thin">
        <color rgb="FF3617CE"/>
      </left>
      <right/>
      <top style="thin">
        <color rgb="FF3617CE"/>
      </top>
      <bottom/>
      <diagonal/>
    </border>
    <border>
      <left/>
      <right style="thin">
        <color rgb="FF3617CE"/>
      </right>
      <top style="thin">
        <color rgb="FF3617CE"/>
      </top>
      <bottom/>
      <diagonal/>
    </border>
    <border>
      <left style="thin">
        <color rgb="FF3617CE"/>
      </left>
      <right/>
      <top/>
      <bottom style="thin">
        <color rgb="FF3617CE"/>
      </bottom>
      <diagonal/>
    </border>
    <border>
      <left/>
      <right style="thin">
        <color rgb="FF3617CE"/>
      </right>
      <top/>
      <bottom style="thin">
        <color rgb="FF3617CE"/>
      </bottom>
      <diagonal/>
    </border>
    <border>
      <left/>
      <right style="thin">
        <color theme="2" tint="-0.24994659260841701"/>
      </right>
      <top style="thin">
        <color theme="2" tint="-0.24994659260841701"/>
      </top>
      <bottom/>
      <diagonal/>
    </border>
    <border>
      <left style="hair">
        <color auto="1"/>
      </left>
      <right style="thin">
        <color theme="2" tint="-0.24994659260841701"/>
      </right>
      <top/>
      <bottom style="thin">
        <color theme="1" tint="0.499984740745262"/>
      </bottom>
      <diagonal/>
    </border>
    <border>
      <left/>
      <right style="thin">
        <color rgb="FFEC0B8E"/>
      </right>
      <top/>
      <bottom/>
      <diagonal/>
    </border>
    <border>
      <left style="thin">
        <color rgb="FF3617CE"/>
      </left>
      <right/>
      <top style="thin">
        <color theme="2" tint="-0.499984740745262"/>
      </top>
      <bottom/>
      <diagonal/>
    </border>
    <border>
      <left style="thin">
        <color theme="2" tint="-0.24994659260841701"/>
      </left>
      <right style="hair">
        <color indexed="64"/>
      </right>
      <top style="hair">
        <color indexed="64"/>
      </top>
      <bottom style="thin">
        <color theme="2" tint="-0.24994659260841701"/>
      </bottom>
      <diagonal/>
    </border>
    <border>
      <left style="thin">
        <color theme="2" tint="-0.24994659260841701"/>
      </left>
      <right style="hair">
        <color theme="2" tint="-0.24994659260841701"/>
      </right>
      <top style="hair">
        <color theme="2" tint="-0.24994659260841701"/>
      </top>
      <bottom style="hair">
        <color theme="2" tint="-0.24994659260841701"/>
      </bottom>
      <diagonal/>
    </border>
    <border>
      <left style="hair">
        <color theme="2" tint="-0.24994659260841701"/>
      </left>
      <right style="hair">
        <color theme="2" tint="-0.24994659260841701"/>
      </right>
      <top style="hair">
        <color theme="2" tint="-0.24994659260841701"/>
      </top>
      <bottom style="hair">
        <color theme="2" tint="-0.24994659260841701"/>
      </bottom>
      <diagonal/>
    </border>
    <border>
      <left style="hair">
        <color theme="2" tint="-0.24994659260841701"/>
      </left>
      <right style="thin">
        <color theme="2" tint="-0.24994659260841701"/>
      </right>
      <top style="hair">
        <color theme="2" tint="-0.24994659260841701"/>
      </top>
      <bottom style="hair">
        <color theme="2" tint="-0.24994659260841701"/>
      </bottom>
      <diagonal/>
    </border>
    <border>
      <left style="thin">
        <color theme="1" tint="0.24994659260841701"/>
      </left>
      <right/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/>
      <diagonal/>
    </border>
    <border>
      <left/>
      <right style="thin">
        <color theme="1" tint="0.24994659260841701"/>
      </right>
      <top style="thin">
        <color theme="1" tint="0.499984740745262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auto="1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theme="1" tint="0.499984740745262"/>
      </right>
      <top style="hair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</borders>
  <cellStyleXfs count="1">
    <xf numFmtId="0" fontId="0" fillId="0" borderId="0">
      <alignment vertical="center"/>
    </xf>
  </cellStyleXfs>
  <cellXfs count="63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3" fillId="7" borderId="20" xfId="0" applyFont="1" applyFill="1" applyBorder="1" applyAlignment="1">
      <alignment horizontal="center" vertical="center"/>
    </xf>
    <xf numFmtId="0" fontId="3" fillId="8" borderId="6" xfId="0" applyFont="1" applyFill="1" applyBorder="1" applyAlignment="1">
      <alignment horizontal="center" vertical="center"/>
    </xf>
    <xf numFmtId="0" fontId="0" fillId="0" borderId="7" xfId="0" applyBorder="1" applyAlignment="1">
      <alignment horizontal="left" vertical="center" indent="1"/>
    </xf>
    <xf numFmtId="0" fontId="0" fillId="0" borderId="11" xfId="0" applyBorder="1" applyAlignment="1">
      <alignment horizontal="left" vertical="center" indent="1"/>
    </xf>
    <xf numFmtId="0" fontId="0" fillId="0" borderId="8" xfId="0" applyBorder="1" applyAlignment="1">
      <alignment horizontal="left" vertical="center" indent="1"/>
    </xf>
    <xf numFmtId="0" fontId="0" fillId="0" borderId="3" xfId="0" applyBorder="1" applyAlignment="1">
      <alignment horizontal="left" vertical="center" indent="1"/>
    </xf>
    <xf numFmtId="0" fontId="0" fillId="0" borderId="13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0" fontId="0" fillId="0" borderId="5" xfId="0" applyBorder="1" applyAlignment="1">
      <alignment horizontal="left" vertical="center" indent="1"/>
    </xf>
    <xf numFmtId="0" fontId="0" fillId="0" borderId="20" xfId="0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0" fontId="11" fillId="0" borderId="0" xfId="0" applyFont="1">
      <alignment vertical="center"/>
    </xf>
    <xf numFmtId="0" fontId="5" fillId="0" borderId="9" xfId="0" applyFont="1" applyBorder="1" applyAlignment="1">
      <alignment horizontal="center" vertical="center"/>
    </xf>
    <xf numFmtId="0" fontId="4" fillId="10" borderId="9" xfId="0" applyFont="1" applyFill="1" applyBorder="1" applyAlignment="1">
      <alignment horizontal="center" vertical="center"/>
    </xf>
    <xf numFmtId="0" fontId="4" fillId="10" borderId="22" xfId="0" applyFont="1" applyFill="1" applyBorder="1" applyAlignment="1">
      <alignment horizontal="center" vertical="center"/>
    </xf>
    <xf numFmtId="0" fontId="5" fillId="0" borderId="22" xfId="0" applyFont="1" applyBorder="1">
      <alignment vertical="center"/>
    </xf>
    <xf numFmtId="0" fontId="5" fillId="0" borderId="22" xfId="0" applyFont="1" applyBorder="1" applyAlignment="1">
      <alignment horizontal="center" vertical="center"/>
    </xf>
    <xf numFmtId="0" fontId="0" fillId="0" borderId="0" xfId="0" applyAlignment="1">
      <alignment horizontal="left" vertical="center" indent="1"/>
    </xf>
    <xf numFmtId="0" fontId="0" fillId="0" borderId="16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3" fontId="0" fillId="0" borderId="13" xfId="0" applyNumberFormat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14" borderId="16" xfId="0" applyFill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14" borderId="35" xfId="0" applyFill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14" borderId="40" xfId="0" applyFill="1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3" fontId="0" fillId="5" borderId="13" xfId="0" applyNumberFormat="1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3" fontId="16" fillId="5" borderId="13" xfId="0" applyNumberFormat="1" applyFont="1" applyFill="1" applyBorder="1" applyAlignment="1">
      <alignment horizontal="center" vertical="center"/>
    </xf>
    <xf numFmtId="0" fontId="16" fillId="5" borderId="13" xfId="0" applyFont="1" applyFill="1" applyBorder="1" applyAlignment="1">
      <alignment horizontal="center" vertical="center"/>
    </xf>
    <xf numFmtId="3" fontId="16" fillId="0" borderId="13" xfId="0" applyNumberFormat="1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9" fillId="0" borderId="0" xfId="0" applyFont="1">
      <alignment vertical="center"/>
    </xf>
    <xf numFmtId="0" fontId="14" fillId="5" borderId="13" xfId="0" applyFont="1" applyFill="1" applyBorder="1" applyAlignment="1">
      <alignment horizontal="center" vertical="center" wrapText="1"/>
    </xf>
    <xf numFmtId="0" fontId="13" fillId="0" borderId="51" xfId="0" applyFont="1" applyBorder="1" applyAlignment="1">
      <alignment horizontal="center" vertical="center"/>
    </xf>
    <xf numFmtId="0" fontId="7" fillId="0" borderId="52" xfId="0" applyFont="1" applyBorder="1" applyAlignment="1">
      <alignment horizontal="center" vertical="center"/>
    </xf>
    <xf numFmtId="0" fontId="15" fillId="19" borderId="0" xfId="0" applyFont="1" applyFill="1" applyAlignment="1">
      <alignment horizontal="center" vertical="center" wrapText="1"/>
    </xf>
    <xf numFmtId="0" fontId="13" fillId="0" borderId="3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40" xfId="0" applyFont="1" applyBorder="1" applyAlignment="1">
      <alignment horizontal="center" vertical="center"/>
    </xf>
    <xf numFmtId="0" fontId="0" fillId="14" borderId="54" xfId="0" applyFill="1" applyBorder="1" applyAlignment="1">
      <alignment horizontal="center" vertical="center"/>
    </xf>
    <xf numFmtId="0" fontId="0" fillId="14" borderId="60" xfId="0" applyFill="1" applyBorder="1" applyAlignment="1">
      <alignment horizontal="center" vertical="center"/>
    </xf>
    <xf numFmtId="0" fontId="0" fillId="14" borderId="61" xfId="0" applyFill="1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0" fontId="0" fillId="14" borderId="62" xfId="0" applyFill="1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0" fontId="9" fillId="5" borderId="65" xfId="0" applyFont="1" applyFill="1" applyBorder="1" applyAlignment="1">
      <alignment horizontal="center" vertical="center"/>
    </xf>
    <xf numFmtId="0" fontId="9" fillId="0" borderId="63" xfId="0" applyFont="1" applyBorder="1" applyAlignment="1">
      <alignment horizontal="center" vertical="center"/>
    </xf>
    <xf numFmtId="3" fontId="0" fillId="0" borderId="44" xfId="0" applyNumberFormat="1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9" fillId="0" borderId="68" xfId="0" applyFont="1" applyBorder="1" applyAlignment="1">
      <alignment horizontal="center" vertical="center"/>
    </xf>
    <xf numFmtId="3" fontId="0" fillId="0" borderId="11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4" fillId="5" borderId="70" xfId="0" applyFont="1" applyFill="1" applyBorder="1" applyAlignment="1">
      <alignment horizontal="center" vertical="center"/>
    </xf>
    <xf numFmtId="0" fontId="14" fillId="5" borderId="71" xfId="0" applyFont="1" applyFill="1" applyBorder="1" applyAlignment="1">
      <alignment horizontal="center" vertical="center"/>
    </xf>
    <xf numFmtId="0" fontId="17" fillId="0" borderId="76" xfId="0" applyFont="1" applyBorder="1" applyAlignment="1">
      <alignment horizontal="center" vertical="center"/>
    </xf>
    <xf numFmtId="0" fontId="17" fillId="5" borderId="76" xfId="0" applyFont="1" applyFill="1" applyBorder="1" applyAlignment="1">
      <alignment horizontal="center" vertical="center"/>
    </xf>
    <xf numFmtId="0" fontId="17" fillId="5" borderId="76" xfId="0" applyFont="1" applyFill="1" applyBorder="1" applyAlignment="1">
      <alignment horizontal="center" vertical="center" wrapText="1"/>
    </xf>
    <xf numFmtId="0" fontId="17" fillId="0" borderId="78" xfId="0" applyFont="1" applyBorder="1" applyAlignment="1">
      <alignment horizontal="center" vertical="center"/>
    </xf>
    <xf numFmtId="3" fontId="16" fillId="0" borderId="44" xfId="0" applyNumberFormat="1" applyFont="1" applyBorder="1" applyAlignment="1">
      <alignment horizontal="center" vertical="center"/>
    </xf>
    <xf numFmtId="0" fontId="16" fillId="0" borderId="44" xfId="0" applyFont="1" applyBorder="1" applyAlignment="1">
      <alignment horizontal="center" vertical="center"/>
    </xf>
    <xf numFmtId="0" fontId="17" fillId="0" borderId="79" xfId="0" applyFont="1" applyBorder="1" applyAlignment="1">
      <alignment horizontal="center" vertical="center"/>
    </xf>
    <xf numFmtId="3" fontId="16" fillId="0" borderId="11" xfId="0" applyNumberFormat="1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4" fillId="5" borderId="81" xfId="0" applyFont="1" applyFill="1" applyBorder="1" applyAlignment="1">
      <alignment horizontal="center" vertical="center"/>
    </xf>
    <xf numFmtId="0" fontId="14" fillId="5" borderId="65" xfId="0" applyFont="1" applyFill="1" applyBorder="1" applyAlignment="1">
      <alignment horizontal="center" vertical="center" wrapText="1"/>
    </xf>
    <xf numFmtId="0" fontId="14" fillId="0" borderId="63" xfId="0" applyFont="1" applyBorder="1" applyAlignment="1">
      <alignment horizontal="center" vertical="center" wrapText="1"/>
    </xf>
    <xf numFmtId="0" fontId="14" fillId="0" borderId="44" xfId="0" applyFont="1" applyBorder="1" applyAlignment="1">
      <alignment horizontal="center" vertical="center" wrapText="1"/>
    </xf>
    <xf numFmtId="0" fontId="14" fillId="0" borderId="68" xfId="0" applyFont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  <xf numFmtId="0" fontId="14" fillId="5" borderId="71" xfId="0" applyFont="1" applyFill="1" applyBorder="1">
      <alignment vertical="center"/>
    </xf>
    <xf numFmtId="0" fontId="6" fillId="9" borderId="10" xfId="0" applyFont="1" applyFill="1" applyBorder="1" applyAlignment="1">
      <alignment horizontal="center" vertical="center"/>
    </xf>
    <xf numFmtId="0" fontId="14" fillId="5" borderId="85" xfId="0" applyFont="1" applyFill="1" applyBorder="1" applyAlignment="1">
      <alignment horizontal="center" vertical="center"/>
    </xf>
    <xf numFmtId="0" fontId="14" fillId="5" borderId="86" xfId="0" applyFont="1" applyFill="1" applyBorder="1" applyAlignment="1">
      <alignment horizontal="center" vertical="center"/>
    </xf>
    <xf numFmtId="0" fontId="9" fillId="0" borderId="91" xfId="0" applyFont="1" applyBorder="1" applyAlignment="1">
      <alignment horizontal="center" vertical="center"/>
    </xf>
    <xf numFmtId="0" fontId="9" fillId="5" borderId="91" xfId="0" applyFont="1" applyFill="1" applyBorder="1" applyAlignment="1">
      <alignment horizontal="center" vertical="center"/>
    </xf>
    <xf numFmtId="0" fontId="9" fillId="0" borderId="93" xfId="0" applyFont="1" applyBorder="1" applyAlignment="1">
      <alignment horizontal="center" vertical="center"/>
    </xf>
    <xf numFmtId="3" fontId="0" fillId="0" borderId="94" xfId="0" applyNumberFormat="1" applyBorder="1" applyAlignment="1">
      <alignment horizontal="center" vertical="center"/>
    </xf>
    <xf numFmtId="0" fontId="0" fillId="0" borderId="94" xfId="0" applyBorder="1" applyAlignment="1">
      <alignment horizontal="center" vertical="center"/>
    </xf>
    <xf numFmtId="0" fontId="14" fillId="5" borderId="99" xfId="0" applyFont="1" applyFill="1" applyBorder="1" applyAlignment="1">
      <alignment horizontal="center" vertical="center"/>
    </xf>
    <xf numFmtId="0" fontId="14" fillId="5" borderId="100" xfId="0" applyFont="1" applyFill="1" applyBorder="1" applyAlignment="1">
      <alignment horizontal="center" vertical="center"/>
    </xf>
    <xf numFmtId="0" fontId="17" fillId="0" borderId="101" xfId="0" applyFont="1" applyBorder="1" applyAlignment="1">
      <alignment horizontal="center" vertical="center"/>
    </xf>
    <xf numFmtId="0" fontId="17" fillId="5" borderId="101" xfId="0" applyFont="1" applyFill="1" applyBorder="1" applyAlignment="1">
      <alignment horizontal="center" vertical="center"/>
    </xf>
    <xf numFmtId="0" fontId="14" fillId="0" borderId="91" xfId="0" applyFont="1" applyBorder="1" applyAlignment="1">
      <alignment horizontal="center" vertical="center" wrapText="1"/>
    </xf>
    <xf numFmtId="0" fontId="0" fillId="14" borderId="104" xfId="0" applyFill="1" applyBorder="1" applyAlignment="1">
      <alignment horizontal="center" vertical="center"/>
    </xf>
    <xf numFmtId="0" fontId="0" fillId="14" borderId="105" xfId="0" applyFill="1" applyBorder="1" applyAlignment="1">
      <alignment horizontal="center" vertical="center"/>
    </xf>
    <xf numFmtId="0" fontId="0" fillId="14" borderId="106" xfId="0" applyFill="1" applyBorder="1" applyAlignment="1">
      <alignment horizontal="center" vertical="center"/>
    </xf>
    <xf numFmtId="0" fontId="0" fillId="0" borderId="107" xfId="0" applyBorder="1" applyAlignment="1">
      <alignment horizontal="center" vertical="center"/>
    </xf>
    <xf numFmtId="0" fontId="0" fillId="14" borderId="107" xfId="0" applyFill="1" applyBorder="1" applyAlignment="1">
      <alignment horizontal="center" vertical="center"/>
    </xf>
    <xf numFmtId="0" fontId="0" fillId="0" borderId="97" xfId="0" applyBorder="1" applyAlignment="1">
      <alignment horizontal="center" vertical="center"/>
    </xf>
    <xf numFmtId="0" fontId="0" fillId="0" borderId="95" xfId="0" applyBorder="1" applyAlignment="1">
      <alignment horizontal="center" vertical="center"/>
    </xf>
    <xf numFmtId="0" fontId="0" fillId="0" borderId="103" xfId="0" applyBorder="1" applyAlignment="1">
      <alignment horizontal="center" vertical="center"/>
    </xf>
    <xf numFmtId="0" fontId="13" fillId="0" borderId="108" xfId="0" applyFont="1" applyBorder="1" applyAlignment="1">
      <alignment horizontal="center" vertical="center"/>
    </xf>
    <xf numFmtId="0" fontId="7" fillId="0" borderId="109" xfId="0" applyFont="1" applyBorder="1" applyAlignment="1">
      <alignment horizontal="center" vertical="center"/>
    </xf>
    <xf numFmtId="0" fontId="7" fillId="0" borderId="110" xfId="0" applyFont="1" applyBorder="1" applyAlignment="1">
      <alignment horizontal="center" vertical="center"/>
    </xf>
    <xf numFmtId="0" fontId="7" fillId="0" borderId="118" xfId="0" applyFont="1" applyBorder="1" applyAlignment="1">
      <alignment horizontal="center" vertical="center"/>
    </xf>
    <xf numFmtId="176" fontId="14" fillId="0" borderId="102" xfId="0" applyNumberFormat="1" applyFont="1" applyBorder="1" applyAlignment="1">
      <alignment horizontal="center" vertical="center"/>
    </xf>
    <xf numFmtId="176" fontId="14" fillId="5" borderId="102" xfId="0" applyNumberFormat="1" applyFont="1" applyFill="1" applyBorder="1" applyAlignment="1">
      <alignment horizontal="center" vertical="center"/>
    </xf>
    <xf numFmtId="0" fontId="12" fillId="0" borderId="102" xfId="0" applyFont="1" applyBorder="1" applyAlignment="1">
      <alignment horizontal="center" vertical="center" wrapText="1"/>
    </xf>
    <xf numFmtId="0" fontId="12" fillId="5" borderId="102" xfId="0" applyFont="1" applyFill="1" applyBorder="1" applyAlignment="1">
      <alignment horizontal="center" vertical="center" wrapText="1"/>
    </xf>
    <xf numFmtId="0" fontId="12" fillId="0" borderId="103" xfId="0" applyFont="1" applyBorder="1" applyAlignment="1">
      <alignment horizontal="center" vertical="center" wrapText="1"/>
    </xf>
    <xf numFmtId="0" fontId="17" fillId="5" borderId="121" xfId="0" applyFont="1" applyFill="1" applyBorder="1" applyAlignment="1">
      <alignment horizontal="center" vertical="center"/>
    </xf>
    <xf numFmtId="3" fontId="16" fillId="5" borderId="94" xfId="0" applyNumberFormat="1" applyFont="1" applyFill="1" applyBorder="1" applyAlignment="1">
      <alignment horizontal="center" vertical="center"/>
    </xf>
    <xf numFmtId="0" fontId="16" fillId="5" borderId="94" xfId="0" applyFont="1" applyFill="1" applyBorder="1" applyAlignment="1">
      <alignment horizontal="center" vertical="center"/>
    </xf>
    <xf numFmtId="0" fontId="18" fillId="0" borderId="91" xfId="0" applyFont="1" applyBorder="1" applyAlignment="1">
      <alignment horizontal="center" vertical="center" wrapText="1"/>
    </xf>
    <xf numFmtId="0" fontId="18" fillId="5" borderId="91" xfId="0" applyFont="1" applyFill="1" applyBorder="1" applyAlignment="1">
      <alignment horizontal="center" vertical="center" wrapText="1"/>
    </xf>
    <xf numFmtId="3" fontId="7" fillId="0" borderId="13" xfId="0" applyNumberFormat="1" applyFont="1" applyBorder="1" applyAlignment="1">
      <alignment horizontal="center" vertical="center"/>
    </xf>
    <xf numFmtId="0" fontId="14" fillId="5" borderId="100" xfId="0" applyFont="1" applyFill="1" applyBorder="1">
      <alignment vertical="center"/>
    </xf>
    <xf numFmtId="176" fontId="18" fillId="0" borderId="102" xfId="0" applyNumberFormat="1" applyFont="1" applyBorder="1">
      <alignment vertical="center"/>
    </xf>
    <xf numFmtId="0" fontId="5" fillId="0" borderId="9" xfId="0" applyFont="1" applyBorder="1" applyAlignment="1">
      <alignment vertical="center" wrapText="1"/>
    </xf>
    <xf numFmtId="0" fontId="24" fillId="0" borderId="0" xfId="0" applyFont="1" applyAlignment="1">
      <alignment horizontal="center" vertical="center" wrapText="1"/>
    </xf>
    <xf numFmtId="0" fontId="25" fillId="0" borderId="0" xfId="0" applyFont="1" applyAlignment="1">
      <alignment horizontal="left" vertical="center" indent="1"/>
    </xf>
    <xf numFmtId="0" fontId="25" fillId="0" borderId="0" xfId="0" applyFont="1">
      <alignment vertical="center"/>
    </xf>
    <xf numFmtId="0" fontId="25" fillId="0" borderId="0" xfId="0" applyFont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138" xfId="0" applyFont="1" applyBorder="1" applyAlignment="1">
      <alignment horizontal="center" vertical="center"/>
    </xf>
    <xf numFmtId="0" fontId="25" fillId="0" borderId="32" xfId="0" applyFont="1" applyBorder="1" applyAlignment="1">
      <alignment horizontal="center" vertical="center"/>
    </xf>
    <xf numFmtId="0" fontId="25" fillId="0" borderId="33" xfId="0" applyFont="1" applyBorder="1" applyAlignment="1">
      <alignment horizontal="center" vertical="center"/>
    </xf>
    <xf numFmtId="0" fontId="25" fillId="0" borderId="35" xfId="0" applyFont="1" applyBorder="1" applyAlignment="1">
      <alignment horizontal="center" vertical="center"/>
    </xf>
    <xf numFmtId="0" fontId="25" fillId="0" borderId="135" xfId="0" applyFont="1" applyBorder="1" applyAlignment="1">
      <alignment horizontal="center" vertical="center"/>
    </xf>
    <xf numFmtId="0" fontId="25" fillId="9" borderId="132" xfId="0" applyFont="1" applyFill="1" applyBorder="1">
      <alignment vertical="center"/>
    </xf>
    <xf numFmtId="0" fontId="25" fillId="9" borderId="133" xfId="0" applyFont="1" applyFill="1" applyBorder="1">
      <alignment vertical="center"/>
    </xf>
    <xf numFmtId="0" fontId="30" fillId="0" borderId="0" xfId="0" applyFont="1" applyAlignment="1">
      <alignment horizontal="center" vertical="center" wrapText="1"/>
    </xf>
    <xf numFmtId="0" fontId="25" fillId="5" borderId="24" xfId="0" applyFont="1" applyFill="1" applyBorder="1" applyAlignment="1">
      <alignment horizontal="center" vertical="center"/>
    </xf>
    <xf numFmtId="0" fontId="25" fillId="5" borderId="153" xfId="0" applyFont="1" applyFill="1" applyBorder="1" applyAlignment="1">
      <alignment horizontal="center" vertical="center"/>
    </xf>
    <xf numFmtId="0" fontId="25" fillId="5" borderId="146" xfId="0" applyFont="1" applyFill="1" applyBorder="1" applyAlignment="1">
      <alignment horizontal="center" vertical="center"/>
    </xf>
    <xf numFmtId="0" fontId="25" fillId="5" borderId="22" xfId="0" applyFont="1" applyFill="1" applyBorder="1" applyAlignment="1">
      <alignment horizontal="center" vertical="center"/>
    </xf>
    <xf numFmtId="0" fontId="25" fillId="0" borderId="154" xfId="0" applyFont="1" applyBorder="1" applyAlignment="1">
      <alignment horizontal="center" vertical="center"/>
    </xf>
    <xf numFmtId="0" fontId="25" fillId="0" borderId="156" xfId="0" applyFont="1" applyBorder="1" applyAlignment="1">
      <alignment horizontal="center" vertical="center"/>
    </xf>
    <xf numFmtId="0" fontId="25" fillId="0" borderId="155" xfId="0" applyFont="1" applyBorder="1" applyAlignment="1">
      <alignment horizontal="center" vertical="center"/>
    </xf>
    <xf numFmtId="0" fontId="25" fillId="5" borderId="157" xfId="0" applyFont="1" applyFill="1" applyBorder="1" applyAlignment="1">
      <alignment horizontal="center" vertical="center"/>
    </xf>
    <xf numFmtId="0" fontId="25" fillId="5" borderId="158" xfId="0" applyFont="1" applyFill="1" applyBorder="1" applyAlignment="1">
      <alignment horizontal="center" vertical="center"/>
    </xf>
    <xf numFmtId="0" fontId="25" fillId="5" borderId="159" xfId="0" applyFont="1" applyFill="1" applyBorder="1" applyAlignment="1">
      <alignment horizontal="center" vertical="center"/>
    </xf>
    <xf numFmtId="0" fontId="25" fillId="5" borderId="131" xfId="0" applyFont="1" applyFill="1" applyBorder="1" applyAlignment="1">
      <alignment horizontal="center" vertical="center"/>
    </xf>
    <xf numFmtId="0" fontId="25" fillId="5" borderId="132" xfId="0" applyFont="1" applyFill="1" applyBorder="1" applyAlignment="1">
      <alignment horizontal="center" vertical="center"/>
    </xf>
    <xf numFmtId="0" fontId="41" fillId="5" borderId="142" xfId="0" applyFont="1" applyFill="1" applyBorder="1" applyAlignment="1">
      <alignment horizontal="center" vertical="center"/>
    </xf>
    <xf numFmtId="0" fontId="41" fillId="5" borderId="140" xfId="0" applyFont="1" applyFill="1" applyBorder="1" applyAlignment="1">
      <alignment horizontal="center" vertical="center"/>
    </xf>
    <xf numFmtId="0" fontId="50" fillId="0" borderId="27" xfId="0" applyFont="1" applyBorder="1" applyAlignment="1">
      <alignment horizontal="center" vertical="center"/>
    </xf>
    <xf numFmtId="0" fontId="50" fillId="0" borderId="141" xfId="0" applyFont="1" applyBorder="1" applyAlignment="1">
      <alignment horizontal="center" vertical="center"/>
    </xf>
    <xf numFmtId="0" fontId="50" fillId="0" borderId="135" xfId="0" applyFont="1" applyBorder="1" applyAlignment="1">
      <alignment horizontal="center" vertical="center"/>
    </xf>
    <xf numFmtId="0" fontId="50" fillId="0" borderId="33" xfId="0" applyFont="1" applyBorder="1" applyAlignment="1">
      <alignment horizontal="center" vertical="center"/>
    </xf>
    <xf numFmtId="0" fontId="50" fillId="0" borderId="29" xfId="0" applyFont="1" applyBorder="1" applyAlignment="1">
      <alignment horizontal="center" vertical="center"/>
    </xf>
    <xf numFmtId="0" fontId="50" fillId="0" borderId="139" xfId="0" applyFont="1" applyBorder="1" applyAlignment="1">
      <alignment horizontal="center" vertical="center"/>
    </xf>
    <xf numFmtId="0" fontId="50" fillId="0" borderId="32" xfId="0" applyFont="1" applyBorder="1" applyAlignment="1">
      <alignment horizontal="center" vertical="center"/>
    </xf>
    <xf numFmtId="0" fontId="25" fillId="5" borderId="133" xfId="0" applyFont="1" applyFill="1" applyBorder="1" applyAlignment="1">
      <alignment horizontal="center" vertical="center"/>
    </xf>
    <xf numFmtId="0" fontId="32" fillId="25" borderId="23" xfId="0" applyFont="1" applyFill="1" applyBorder="1" applyAlignment="1">
      <alignment wrapText="1"/>
    </xf>
    <xf numFmtId="0" fontId="25" fillId="0" borderId="143" xfId="0" applyFont="1" applyBorder="1" applyAlignment="1">
      <alignment horizontal="center" vertical="center"/>
    </xf>
    <xf numFmtId="0" fontId="25" fillId="0" borderId="145" xfId="0" applyFont="1" applyBorder="1" applyAlignment="1">
      <alignment horizontal="center" vertical="center"/>
    </xf>
    <xf numFmtId="0" fontId="25" fillId="0" borderId="144" xfId="0" applyFont="1" applyBorder="1" applyAlignment="1">
      <alignment horizontal="center" vertical="center"/>
    </xf>
    <xf numFmtId="0" fontId="25" fillId="0" borderId="164" xfId="0" applyFont="1" applyBorder="1" applyAlignment="1">
      <alignment horizontal="center" vertical="center"/>
    </xf>
    <xf numFmtId="3" fontId="51" fillId="11" borderId="135" xfId="0" applyNumberFormat="1" applyFont="1" applyFill="1" applyBorder="1" applyAlignment="1">
      <alignment horizontal="center" vertical="center" wrapText="1"/>
    </xf>
    <xf numFmtId="3" fontId="52" fillId="11" borderId="33" xfId="0" applyNumberFormat="1" applyFont="1" applyFill="1" applyBorder="1" applyAlignment="1">
      <alignment horizontal="center" vertical="center" wrapText="1"/>
    </xf>
    <xf numFmtId="3" fontId="51" fillId="12" borderId="135" xfId="0" applyNumberFormat="1" applyFont="1" applyFill="1" applyBorder="1" applyAlignment="1">
      <alignment horizontal="center" vertical="center" wrapText="1"/>
    </xf>
    <xf numFmtId="3" fontId="51" fillId="12" borderId="33" xfId="0" applyNumberFormat="1" applyFont="1" applyFill="1" applyBorder="1" applyAlignment="1">
      <alignment horizontal="center" vertical="center" wrapText="1"/>
    </xf>
    <xf numFmtId="3" fontId="51" fillId="13" borderId="33" xfId="0" applyNumberFormat="1" applyFont="1" applyFill="1" applyBorder="1" applyAlignment="1">
      <alignment horizontal="center" vertical="center"/>
    </xf>
    <xf numFmtId="0" fontId="29" fillId="9" borderId="132" xfId="0" applyFont="1" applyFill="1" applyBorder="1" applyAlignment="1">
      <alignment horizontal="right" vertical="center"/>
    </xf>
    <xf numFmtId="3" fontId="51" fillId="12" borderId="142" xfId="0" applyNumberFormat="1" applyFont="1" applyFill="1" applyBorder="1" applyAlignment="1">
      <alignment horizontal="center" vertical="center"/>
    </xf>
    <xf numFmtId="3" fontId="51" fillId="12" borderId="140" xfId="0" applyNumberFormat="1" applyFont="1" applyFill="1" applyBorder="1" applyAlignment="1">
      <alignment horizontal="center" vertical="center"/>
    </xf>
    <xf numFmtId="3" fontId="51" fillId="12" borderId="27" xfId="0" applyNumberFormat="1" applyFont="1" applyFill="1" applyBorder="1" applyAlignment="1">
      <alignment horizontal="center" vertical="center" wrapText="1"/>
    </xf>
    <xf numFmtId="3" fontId="51" fillId="12" borderId="141" xfId="0" applyNumberFormat="1" applyFont="1" applyFill="1" applyBorder="1" applyAlignment="1">
      <alignment horizontal="center" vertical="center"/>
    </xf>
    <xf numFmtId="3" fontId="51" fillId="12" borderId="144" xfId="0" applyNumberFormat="1" applyFont="1" applyFill="1" applyBorder="1" applyAlignment="1">
      <alignment horizontal="center" vertical="center"/>
    </xf>
    <xf numFmtId="3" fontId="51" fillId="12" borderId="145" xfId="0" applyNumberFormat="1" applyFont="1" applyFill="1" applyBorder="1" applyAlignment="1">
      <alignment horizontal="center" vertical="center"/>
    </xf>
    <xf numFmtId="0" fontId="25" fillId="9" borderId="129" xfId="0" applyFont="1" applyFill="1" applyBorder="1">
      <alignment vertical="center"/>
    </xf>
    <xf numFmtId="0" fontId="25" fillId="9" borderId="130" xfId="0" applyFont="1" applyFill="1" applyBorder="1">
      <alignment vertical="center"/>
    </xf>
    <xf numFmtId="0" fontId="39" fillId="9" borderId="24" xfId="0" applyFont="1" applyFill="1" applyBorder="1" applyAlignment="1">
      <alignment horizontal="right" vertical="center" wrapText="1"/>
    </xf>
    <xf numFmtId="0" fontId="44" fillId="9" borderId="23" xfId="0" applyFont="1" applyFill="1" applyBorder="1" applyAlignment="1">
      <alignment vertical="center" wrapText="1"/>
    </xf>
    <xf numFmtId="0" fontId="67" fillId="9" borderId="25" xfId="0" applyFont="1" applyFill="1" applyBorder="1" applyAlignment="1">
      <alignment horizontal="left" vertical="center" indent="2"/>
    </xf>
    <xf numFmtId="0" fontId="67" fillId="9" borderId="0" xfId="0" applyFont="1" applyFill="1" applyAlignment="1">
      <alignment horizontal="left" vertical="center" indent="2"/>
    </xf>
    <xf numFmtId="0" fontId="67" fillId="9" borderId="26" xfId="0" applyFont="1" applyFill="1" applyBorder="1" applyAlignment="1">
      <alignment horizontal="left" vertical="center" indent="2"/>
    </xf>
    <xf numFmtId="0" fontId="29" fillId="9" borderId="129" xfId="0" applyFont="1" applyFill="1" applyBorder="1" applyAlignment="1">
      <alignment horizontal="right" vertical="center"/>
    </xf>
    <xf numFmtId="0" fontId="69" fillId="0" borderId="0" xfId="0" applyFont="1">
      <alignment vertical="center"/>
    </xf>
    <xf numFmtId="0" fontId="65" fillId="0" borderId="11" xfId="0" applyFont="1" applyBorder="1" applyAlignment="1">
      <alignment horizontal="center" vertical="center" wrapText="1"/>
    </xf>
    <xf numFmtId="0" fontId="65" fillId="5" borderId="85" xfId="0" applyFont="1" applyFill="1" applyBorder="1" applyAlignment="1">
      <alignment horizontal="center" vertical="center"/>
    </xf>
    <xf numFmtId="0" fontId="65" fillId="5" borderId="100" xfId="0" applyFont="1" applyFill="1" applyBorder="1">
      <alignment vertical="center"/>
    </xf>
    <xf numFmtId="0" fontId="65" fillId="0" borderId="91" xfId="0" applyFont="1" applyBorder="1" applyAlignment="1">
      <alignment horizontal="center" vertical="center" wrapText="1"/>
    </xf>
    <xf numFmtId="176" fontId="72" fillId="0" borderId="102" xfId="0" applyNumberFormat="1" applyFont="1" applyBorder="1">
      <alignment vertical="center"/>
    </xf>
    <xf numFmtId="0" fontId="72" fillId="0" borderId="91" xfId="0" applyFont="1" applyBorder="1" applyAlignment="1">
      <alignment horizontal="center" vertical="center" wrapText="1"/>
    </xf>
    <xf numFmtId="0" fontId="65" fillId="5" borderId="122" xfId="0" applyFont="1" applyFill="1" applyBorder="1" applyAlignment="1">
      <alignment horizontal="center" vertical="center"/>
    </xf>
    <xf numFmtId="0" fontId="72" fillId="0" borderId="122" xfId="0" applyFont="1" applyBorder="1" applyAlignment="1">
      <alignment horizontal="center" vertical="center" wrapText="1"/>
    </xf>
    <xf numFmtId="0" fontId="72" fillId="5" borderId="122" xfId="0" applyFont="1" applyFill="1" applyBorder="1" applyAlignment="1">
      <alignment horizontal="center" vertical="center" wrapText="1"/>
    </xf>
    <xf numFmtId="0" fontId="65" fillId="0" borderId="68" xfId="0" applyFont="1" applyBorder="1" applyAlignment="1">
      <alignment horizontal="left" vertical="center" wrapText="1" indent="1"/>
    </xf>
    <xf numFmtId="0" fontId="65" fillId="5" borderId="62" xfId="0" applyFont="1" applyFill="1" applyBorder="1" applyAlignment="1">
      <alignment horizontal="left" vertical="center" wrapText="1" indent="1"/>
    </xf>
    <xf numFmtId="0" fontId="65" fillId="5" borderId="15" xfId="0" applyFont="1" applyFill="1" applyBorder="1" applyAlignment="1">
      <alignment horizontal="center" vertical="center" wrapText="1"/>
    </xf>
    <xf numFmtId="0" fontId="75" fillId="0" borderId="0" xfId="0" applyFont="1">
      <alignment vertical="center"/>
    </xf>
    <xf numFmtId="0" fontId="54" fillId="5" borderId="70" xfId="0" applyFont="1" applyFill="1" applyBorder="1" applyAlignment="1">
      <alignment horizontal="center" vertical="center"/>
    </xf>
    <xf numFmtId="0" fontId="54" fillId="5" borderId="71" xfId="0" applyFont="1" applyFill="1" applyBorder="1" applyAlignment="1">
      <alignment horizontal="center" vertical="center"/>
    </xf>
    <xf numFmtId="0" fontId="79" fillId="0" borderId="0" xfId="0" applyFont="1">
      <alignment vertical="center"/>
    </xf>
    <xf numFmtId="0" fontId="79" fillId="9" borderId="132" xfId="0" applyFont="1" applyFill="1" applyBorder="1">
      <alignment vertical="center"/>
    </xf>
    <xf numFmtId="0" fontId="79" fillId="9" borderId="133" xfId="0" applyFont="1" applyFill="1" applyBorder="1">
      <alignment vertical="center"/>
    </xf>
    <xf numFmtId="0" fontId="80" fillId="9" borderId="129" xfId="0" applyFont="1" applyFill="1" applyBorder="1" applyAlignment="1">
      <alignment horizontal="right" vertical="center"/>
    </xf>
    <xf numFmtId="0" fontId="79" fillId="9" borderId="129" xfId="0" applyFont="1" applyFill="1" applyBorder="1">
      <alignment vertical="center"/>
    </xf>
    <xf numFmtId="0" fontId="79" fillId="9" borderId="130" xfId="0" applyFont="1" applyFill="1" applyBorder="1">
      <alignment vertical="center"/>
    </xf>
    <xf numFmtId="0" fontId="80" fillId="9" borderId="132" xfId="0" applyFont="1" applyFill="1" applyBorder="1" applyAlignment="1">
      <alignment horizontal="left" vertical="center"/>
    </xf>
    <xf numFmtId="0" fontId="29" fillId="26" borderId="132" xfId="0" applyFont="1" applyFill="1" applyBorder="1" applyAlignment="1">
      <alignment horizontal="right" vertical="center"/>
    </xf>
    <xf numFmtId="0" fontId="25" fillId="26" borderId="132" xfId="0" applyFont="1" applyFill="1" applyBorder="1">
      <alignment vertical="center"/>
    </xf>
    <xf numFmtId="0" fontId="25" fillId="26" borderId="133" xfId="0" applyFont="1" applyFill="1" applyBorder="1">
      <alignment vertical="center"/>
    </xf>
    <xf numFmtId="0" fontId="29" fillId="4" borderId="132" xfId="0" applyFont="1" applyFill="1" applyBorder="1" applyAlignment="1">
      <alignment horizontal="right" vertical="center"/>
    </xf>
    <xf numFmtId="0" fontId="25" fillId="4" borderId="132" xfId="0" applyFont="1" applyFill="1" applyBorder="1">
      <alignment vertical="center"/>
    </xf>
    <xf numFmtId="0" fontId="25" fillId="4" borderId="133" xfId="0" applyFont="1" applyFill="1" applyBorder="1">
      <alignment vertical="center"/>
    </xf>
    <xf numFmtId="0" fontId="57" fillId="9" borderId="25" xfId="0" applyFont="1" applyFill="1" applyBorder="1" applyAlignment="1">
      <alignment horizontal="center" vertical="center"/>
    </xf>
    <xf numFmtId="0" fontId="57" fillId="9" borderId="0" xfId="0" applyFont="1" applyFill="1" applyAlignment="1">
      <alignment horizontal="center" vertical="center"/>
    </xf>
    <xf numFmtId="0" fontId="57" fillId="9" borderId="26" xfId="0" applyFont="1" applyFill="1" applyBorder="1" applyAlignment="1">
      <alignment horizontal="center" vertical="center"/>
    </xf>
    <xf numFmtId="178" fontId="0" fillId="0" borderId="171" xfId="0" applyNumberFormat="1" applyBorder="1" applyAlignment="1">
      <alignment horizontal="center" vertical="center"/>
    </xf>
    <xf numFmtId="178" fontId="0" fillId="0" borderId="172" xfId="0" applyNumberFormat="1" applyBorder="1" applyAlignment="1">
      <alignment horizontal="center" vertical="center"/>
    </xf>
    <xf numFmtId="178" fontId="0" fillId="0" borderId="173" xfId="0" applyNumberFormat="1" applyBorder="1" applyAlignment="1">
      <alignment horizontal="center" vertical="center"/>
    </xf>
    <xf numFmtId="0" fontId="96" fillId="0" borderId="35" xfId="0" applyFont="1" applyBorder="1" applyAlignment="1">
      <alignment horizontal="center" vertical="center"/>
    </xf>
    <xf numFmtId="0" fontId="96" fillId="0" borderId="33" xfId="0" applyFont="1" applyBorder="1" applyAlignment="1">
      <alignment horizontal="center" vertical="center"/>
    </xf>
    <xf numFmtId="0" fontId="29" fillId="0" borderId="0" xfId="0" applyFont="1">
      <alignment vertical="center"/>
    </xf>
    <xf numFmtId="0" fontId="96" fillId="0" borderId="32" xfId="0" applyFont="1" applyBorder="1" applyAlignment="1">
      <alignment horizontal="center" vertical="center"/>
    </xf>
    <xf numFmtId="0" fontId="26" fillId="0" borderId="0" xfId="0" applyFont="1">
      <alignment vertical="center"/>
    </xf>
    <xf numFmtId="0" fontId="25" fillId="9" borderId="0" xfId="0" applyFont="1" applyFill="1">
      <alignment vertical="center"/>
    </xf>
    <xf numFmtId="0" fontId="27" fillId="9" borderId="0" xfId="0" applyFont="1" applyFill="1" applyAlignment="1">
      <alignment vertical="top" wrapText="1"/>
    </xf>
    <xf numFmtId="0" fontId="79" fillId="9" borderId="0" xfId="0" applyFont="1" applyFill="1">
      <alignment vertical="center"/>
    </xf>
    <xf numFmtId="0" fontId="29" fillId="9" borderId="0" xfId="0" applyFont="1" applyFill="1">
      <alignment vertical="center"/>
    </xf>
    <xf numFmtId="0" fontId="34" fillId="9" borderId="0" xfId="0" applyFont="1" applyFill="1" applyAlignment="1">
      <alignment vertical="top"/>
    </xf>
    <xf numFmtId="0" fontId="25" fillId="9" borderId="0" xfId="0" applyFont="1" applyFill="1" applyAlignment="1">
      <alignment horizontal="left" vertical="center" indent="1"/>
    </xf>
    <xf numFmtId="3" fontId="51" fillId="13" borderId="141" xfId="0" applyNumberFormat="1" applyFont="1" applyFill="1" applyBorder="1" applyAlignment="1">
      <alignment horizontal="center" vertical="center"/>
    </xf>
    <xf numFmtId="3" fontId="51" fillId="13" borderId="2" xfId="0" applyNumberFormat="1" applyFont="1" applyFill="1" applyBorder="1" applyAlignment="1">
      <alignment horizontal="center" vertical="center" wrapText="1"/>
    </xf>
    <xf numFmtId="3" fontId="51" fillId="11" borderId="27" xfId="0" applyNumberFormat="1" applyFont="1" applyFill="1" applyBorder="1" applyAlignment="1">
      <alignment horizontal="center" vertical="center" wrapText="1"/>
    </xf>
    <xf numFmtId="3" fontId="51" fillId="13" borderId="34" xfId="0" applyNumberFormat="1" applyFont="1" applyFill="1" applyBorder="1" applyAlignment="1">
      <alignment horizontal="center" vertical="center" wrapText="1"/>
    </xf>
    <xf numFmtId="3" fontId="53" fillId="12" borderId="27" xfId="0" applyNumberFormat="1" applyFont="1" applyFill="1" applyBorder="1" applyAlignment="1">
      <alignment horizontal="center" vertical="center" wrapText="1"/>
    </xf>
    <xf numFmtId="3" fontId="51" fillId="11" borderId="141" xfId="0" applyNumberFormat="1" applyFont="1" applyFill="1" applyBorder="1" applyAlignment="1">
      <alignment horizontal="center" vertical="center" wrapText="1"/>
    </xf>
    <xf numFmtId="3" fontId="51" fillId="12" borderId="141" xfId="0" applyNumberFormat="1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50" fillId="28" borderId="27" xfId="0" applyFont="1" applyFill="1" applyBorder="1" applyAlignment="1">
      <alignment horizontal="center" vertical="center"/>
    </xf>
    <xf numFmtId="0" fontId="95" fillId="9" borderId="25" xfId="0" applyFont="1" applyFill="1" applyBorder="1" applyAlignment="1">
      <alignment horizontal="center" vertical="center"/>
    </xf>
    <xf numFmtId="0" fontId="95" fillId="9" borderId="0" xfId="0" applyFont="1" applyFill="1" applyAlignment="1">
      <alignment horizontal="center" vertical="center"/>
    </xf>
    <xf numFmtId="177" fontId="34" fillId="25" borderId="25" xfId="0" applyNumberFormat="1" applyFont="1" applyFill="1" applyBorder="1" applyAlignment="1">
      <alignment horizontal="center" vertical="center" wrapText="1"/>
    </xf>
    <xf numFmtId="177" fontId="34" fillId="25" borderId="0" xfId="0" applyNumberFormat="1" applyFont="1" applyFill="1" applyAlignment="1">
      <alignment horizontal="center" vertical="center" wrapText="1"/>
    </xf>
    <xf numFmtId="177" fontId="34" fillId="25" borderId="26" xfId="0" applyNumberFormat="1" applyFont="1" applyFill="1" applyBorder="1" applyAlignment="1">
      <alignment horizontal="center" vertical="center" wrapText="1"/>
    </xf>
    <xf numFmtId="177" fontId="34" fillId="25" borderId="134" xfId="0" applyNumberFormat="1" applyFont="1" applyFill="1" applyBorder="1" applyAlignment="1">
      <alignment horizontal="center" vertical="center" wrapText="1"/>
    </xf>
    <xf numFmtId="177" fontId="34" fillId="25" borderId="31" xfId="0" applyNumberFormat="1" applyFont="1" applyFill="1" applyBorder="1" applyAlignment="1">
      <alignment horizontal="center" vertical="center" wrapText="1"/>
    </xf>
    <xf numFmtId="177" fontId="34" fillId="25" borderId="28" xfId="0" applyNumberFormat="1" applyFont="1" applyFill="1" applyBorder="1" applyAlignment="1">
      <alignment horizontal="center" vertical="center" wrapText="1"/>
    </xf>
    <xf numFmtId="0" fontId="49" fillId="0" borderId="143" xfId="0" applyFont="1" applyBorder="1" applyAlignment="1">
      <alignment horizontal="left" vertical="center" indent="1"/>
    </xf>
    <xf numFmtId="0" fontId="49" fillId="0" borderId="162" xfId="0" applyFont="1" applyBorder="1" applyAlignment="1">
      <alignment horizontal="left" vertical="center" indent="1"/>
    </xf>
    <xf numFmtId="0" fontId="45" fillId="9" borderId="128" xfId="0" applyFont="1" applyFill="1" applyBorder="1" applyAlignment="1">
      <alignment horizontal="center" vertical="center" wrapText="1"/>
    </xf>
    <xf numFmtId="0" fontId="45" fillId="9" borderId="130" xfId="0" applyFont="1" applyFill="1" applyBorder="1" applyAlignment="1">
      <alignment horizontal="center" vertical="center" wrapText="1"/>
    </xf>
    <xf numFmtId="177" fontId="25" fillId="0" borderId="136" xfId="0" applyNumberFormat="1" applyFont="1" applyBorder="1" applyAlignment="1">
      <alignment horizontal="left" vertical="center" indent="1"/>
    </xf>
    <xf numFmtId="177" fontId="25" fillId="0" borderId="161" xfId="0" applyNumberFormat="1" applyFont="1" applyBorder="1" applyAlignment="1">
      <alignment horizontal="left" vertical="center" indent="1"/>
    </xf>
    <xf numFmtId="0" fontId="42" fillId="9" borderId="131" xfId="0" applyFont="1" applyFill="1" applyBorder="1" applyAlignment="1">
      <alignment horizontal="center" vertical="center"/>
    </xf>
    <xf numFmtId="0" fontId="42" fillId="9" borderId="132" xfId="0" applyFont="1" applyFill="1" applyBorder="1" applyAlignment="1">
      <alignment horizontal="center" vertical="center"/>
    </xf>
    <xf numFmtId="0" fontId="42" fillId="9" borderId="133" xfId="0" applyFont="1" applyFill="1" applyBorder="1" applyAlignment="1">
      <alignment horizontal="center" vertical="center"/>
    </xf>
    <xf numFmtId="0" fontId="49" fillId="0" borderId="136" xfId="0" applyFont="1" applyBorder="1" applyAlignment="1">
      <alignment horizontal="left" vertical="center" indent="1"/>
    </xf>
    <xf numFmtId="0" fontId="49" fillId="0" borderId="161" xfId="0" applyFont="1" applyBorder="1" applyAlignment="1">
      <alignment horizontal="left" vertical="center" indent="1"/>
    </xf>
    <xf numFmtId="0" fontId="42" fillId="7" borderId="22" xfId="0" applyFont="1" applyFill="1" applyBorder="1" applyAlignment="1">
      <alignment horizontal="center" vertical="center" wrapText="1"/>
    </xf>
    <xf numFmtId="0" fontId="49" fillId="0" borderId="32" xfId="0" applyFont="1" applyBorder="1" applyAlignment="1">
      <alignment horizontal="left" vertical="center" indent="1"/>
    </xf>
    <xf numFmtId="0" fontId="49" fillId="0" borderId="163" xfId="0" applyFont="1" applyBorder="1" applyAlignment="1">
      <alignment horizontal="left" vertical="center" indent="1"/>
    </xf>
    <xf numFmtId="0" fontId="28" fillId="7" borderId="22" xfId="0" applyFont="1" applyFill="1" applyBorder="1" applyAlignment="1">
      <alignment horizontal="center" vertical="center" wrapText="1"/>
    </xf>
    <xf numFmtId="0" fontId="28" fillId="6" borderId="22" xfId="0" applyFont="1" applyFill="1" applyBorder="1" applyAlignment="1">
      <alignment horizontal="center" vertical="center" wrapText="1"/>
    </xf>
    <xf numFmtId="177" fontId="25" fillId="0" borderId="143" xfId="0" applyNumberFormat="1" applyFont="1" applyBorder="1" applyAlignment="1">
      <alignment horizontal="left" vertical="center" indent="1"/>
    </xf>
    <xf numFmtId="177" fontId="25" fillId="0" borderId="162" xfId="0" applyNumberFormat="1" applyFont="1" applyBorder="1" applyAlignment="1">
      <alignment horizontal="left" vertical="center" indent="1"/>
    </xf>
    <xf numFmtId="0" fontId="49" fillId="0" borderId="152" xfId="0" applyFont="1" applyBorder="1" applyAlignment="1">
      <alignment horizontal="left" vertical="center" indent="1"/>
    </xf>
    <xf numFmtId="0" fontId="49" fillId="0" borderId="160" xfId="0" applyFont="1" applyBorder="1" applyAlignment="1">
      <alignment horizontal="left" vertical="center" indent="1"/>
    </xf>
    <xf numFmtId="0" fontId="55" fillId="5" borderId="24" xfId="0" applyFont="1" applyFill="1" applyBorder="1" applyAlignment="1">
      <alignment horizontal="center" vertical="center" wrapText="1"/>
    </xf>
    <xf numFmtId="0" fontId="55" fillId="5" borderId="23" xfId="0" applyFont="1" applyFill="1" applyBorder="1" applyAlignment="1">
      <alignment horizontal="center" vertical="center" wrapText="1"/>
    </xf>
    <xf numFmtId="0" fontId="55" fillId="5" borderId="25" xfId="0" applyFont="1" applyFill="1" applyBorder="1" applyAlignment="1">
      <alignment horizontal="center" vertical="center" wrapText="1"/>
    </xf>
    <xf numFmtId="0" fontId="55" fillId="5" borderId="26" xfId="0" applyFont="1" applyFill="1" applyBorder="1" applyAlignment="1">
      <alignment horizontal="center" vertical="center" wrapText="1"/>
    </xf>
    <xf numFmtId="0" fontId="59" fillId="9" borderId="131" xfId="0" applyFont="1" applyFill="1" applyBorder="1" applyAlignment="1">
      <alignment horizontal="right" vertical="center" indent="1"/>
    </xf>
    <xf numFmtId="0" fontId="59" fillId="9" borderId="132" xfId="0" applyFont="1" applyFill="1" applyBorder="1" applyAlignment="1">
      <alignment horizontal="right" vertical="center" indent="1"/>
    </xf>
    <xf numFmtId="0" fontId="25" fillId="0" borderId="132" xfId="0" applyFont="1" applyBorder="1" applyAlignment="1">
      <alignment horizontal="center" vertical="center"/>
    </xf>
    <xf numFmtId="0" fontId="58" fillId="9" borderId="131" xfId="0" applyFont="1" applyFill="1" applyBorder="1" applyAlignment="1">
      <alignment horizontal="center" vertical="center"/>
    </xf>
    <xf numFmtId="0" fontId="58" fillId="9" borderId="132" xfId="0" applyFont="1" applyFill="1" applyBorder="1" applyAlignment="1">
      <alignment horizontal="center" vertical="center"/>
    </xf>
    <xf numFmtId="0" fontId="58" fillId="9" borderId="133" xfId="0" applyFont="1" applyFill="1" applyBorder="1" applyAlignment="1">
      <alignment horizontal="center" vertical="center"/>
    </xf>
    <xf numFmtId="0" fontId="57" fillId="7" borderId="131" xfId="0" applyFont="1" applyFill="1" applyBorder="1" applyAlignment="1">
      <alignment horizontal="center" vertical="center"/>
    </xf>
    <xf numFmtId="0" fontId="57" fillId="7" borderId="133" xfId="0" applyFont="1" applyFill="1" applyBorder="1" applyAlignment="1">
      <alignment horizontal="center" vertical="center"/>
    </xf>
    <xf numFmtId="0" fontId="57" fillId="2" borderId="131" xfId="0" applyFont="1" applyFill="1" applyBorder="1" applyAlignment="1">
      <alignment horizontal="center" vertical="center"/>
    </xf>
    <xf numFmtId="0" fontId="57" fillId="2" borderId="133" xfId="0" applyFont="1" applyFill="1" applyBorder="1" applyAlignment="1">
      <alignment horizontal="center" vertical="center"/>
    </xf>
    <xf numFmtId="0" fontId="57" fillId="8" borderId="131" xfId="0" applyFont="1" applyFill="1" applyBorder="1" applyAlignment="1">
      <alignment horizontal="center" vertical="center"/>
    </xf>
    <xf numFmtId="0" fontId="57" fillId="8" borderId="133" xfId="0" applyFont="1" applyFill="1" applyBorder="1" applyAlignment="1">
      <alignment horizontal="center" vertical="center"/>
    </xf>
    <xf numFmtId="0" fontId="42" fillId="4" borderId="133" xfId="0" applyFont="1" applyFill="1" applyBorder="1" applyAlignment="1">
      <alignment horizontal="center" vertical="center" wrapText="1"/>
    </xf>
    <xf numFmtId="0" fontId="42" fillId="4" borderId="22" xfId="0" applyFont="1" applyFill="1" applyBorder="1" applyAlignment="1">
      <alignment horizontal="center" vertical="center" wrapText="1"/>
    </xf>
    <xf numFmtId="3" fontId="51" fillId="11" borderId="131" xfId="0" applyNumberFormat="1" applyFont="1" applyFill="1" applyBorder="1" applyAlignment="1">
      <alignment horizontal="center" vertical="center" wrapText="1"/>
    </xf>
    <xf numFmtId="3" fontId="51" fillId="11" borderId="133" xfId="0" applyNumberFormat="1" applyFont="1" applyFill="1" applyBorder="1" applyAlignment="1">
      <alignment horizontal="center" vertical="center" wrapText="1"/>
    </xf>
    <xf numFmtId="3" fontId="51" fillId="12" borderId="131" xfId="0" applyNumberFormat="1" applyFont="1" applyFill="1" applyBorder="1" applyAlignment="1">
      <alignment horizontal="center" vertical="center"/>
    </xf>
    <xf numFmtId="3" fontId="51" fillId="12" borderId="133" xfId="0" applyNumberFormat="1" applyFont="1" applyFill="1" applyBorder="1" applyAlignment="1">
      <alignment horizontal="center" vertical="center"/>
    </xf>
    <xf numFmtId="0" fontId="51" fillId="13" borderId="131" xfId="0" applyFont="1" applyFill="1" applyBorder="1" applyAlignment="1">
      <alignment horizontal="center" vertical="center"/>
    </xf>
    <xf numFmtId="0" fontId="51" fillId="13" borderId="133" xfId="0" applyFont="1" applyFill="1" applyBorder="1" applyAlignment="1">
      <alignment horizontal="center" vertical="center"/>
    </xf>
    <xf numFmtId="0" fontId="55" fillId="5" borderId="131" xfId="0" applyFont="1" applyFill="1" applyBorder="1" applyAlignment="1">
      <alignment horizontal="center" vertical="center"/>
    </xf>
    <xf numFmtId="0" fontId="55" fillId="5" borderId="133" xfId="0" applyFont="1" applyFill="1" applyBorder="1" applyAlignment="1">
      <alignment horizontal="center" vertical="center"/>
    </xf>
    <xf numFmtId="3" fontId="52" fillId="13" borderId="135" xfId="0" applyNumberFormat="1" applyFont="1" applyFill="1" applyBorder="1" applyAlignment="1">
      <alignment horizontal="center" vertical="center" wrapText="1"/>
    </xf>
    <xf numFmtId="3" fontId="52" fillId="13" borderId="29" xfId="0" applyNumberFormat="1" applyFont="1" applyFill="1" applyBorder="1" applyAlignment="1">
      <alignment horizontal="center" vertical="center" wrapText="1"/>
    </xf>
    <xf numFmtId="3" fontId="51" fillId="11" borderId="135" xfId="0" applyNumberFormat="1" applyFont="1" applyFill="1" applyBorder="1" applyAlignment="1">
      <alignment horizontal="center" vertical="center" wrapText="1"/>
    </xf>
    <xf numFmtId="3" fontId="51" fillId="11" borderId="29" xfId="0" applyNumberFormat="1" applyFont="1" applyFill="1" applyBorder="1" applyAlignment="1">
      <alignment horizontal="center" vertical="center" wrapText="1"/>
    </xf>
    <xf numFmtId="3" fontId="51" fillId="11" borderId="33" xfId="0" applyNumberFormat="1" applyFont="1" applyFill="1" applyBorder="1" applyAlignment="1">
      <alignment horizontal="center" vertical="center"/>
    </xf>
    <xf numFmtId="3" fontId="51" fillId="11" borderId="139" xfId="0" applyNumberFormat="1" applyFont="1" applyFill="1" applyBorder="1" applyAlignment="1">
      <alignment horizontal="center" vertical="center"/>
    </xf>
    <xf numFmtId="3" fontId="51" fillId="13" borderId="33" xfId="0" applyNumberFormat="1" applyFont="1" applyFill="1" applyBorder="1" applyAlignment="1">
      <alignment horizontal="center" vertical="center"/>
    </xf>
    <xf numFmtId="3" fontId="51" fillId="13" borderId="139" xfId="0" applyNumberFormat="1" applyFont="1" applyFill="1" applyBorder="1" applyAlignment="1">
      <alignment horizontal="center" vertical="center"/>
    </xf>
    <xf numFmtId="3" fontId="51" fillId="12" borderId="33" xfId="0" applyNumberFormat="1" applyFont="1" applyFill="1" applyBorder="1" applyAlignment="1">
      <alignment horizontal="center" vertical="center"/>
    </xf>
    <xf numFmtId="3" fontId="51" fillId="12" borderId="139" xfId="0" applyNumberFormat="1" applyFont="1" applyFill="1" applyBorder="1" applyAlignment="1">
      <alignment horizontal="center" vertical="center"/>
    </xf>
    <xf numFmtId="3" fontId="53" fillId="11" borderId="24" xfId="0" applyNumberFormat="1" applyFont="1" applyFill="1" applyBorder="1" applyAlignment="1">
      <alignment horizontal="center" vertical="center" wrapText="1"/>
    </xf>
    <xf numFmtId="3" fontId="53" fillId="11" borderId="23" xfId="0" applyNumberFormat="1" applyFont="1" applyFill="1" applyBorder="1" applyAlignment="1">
      <alignment horizontal="center" vertical="center" wrapText="1"/>
    </xf>
    <xf numFmtId="3" fontId="53" fillId="11" borderId="25" xfId="0" applyNumberFormat="1" applyFont="1" applyFill="1" applyBorder="1" applyAlignment="1">
      <alignment horizontal="center" vertical="center" wrapText="1"/>
    </xf>
    <xf numFmtId="3" fontId="53" fillId="11" borderId="26" xfId="0" applyNumberFormat="1" applyFont="1" applyFill="1" applyBorder="1" applyAlignment="1">
      <alignment horizontal="center" vertical="center" wrapText="1"/>
    </xf>
    <xf numFmtId="3" fontId="53" fillId="11" borderId="128" xfId="0" applyNumberFormat="1" applyFont="1" applyFill="1" applyBorder="1" applyAlignment="1">
      <alignment horizontal="center" vertical="center" wrapText="1"/>
    </xf>
    <xf numFmtId="3" fontId="53" fillId="11" borderId="130" xfId="0" applyNumberFormat="1" applyFont="1" applyFill="1" applyBorder="1" applyAlignment="1">
      <alignment horizontal="center" vertical="center" wrapText="1"/>
    </xf>
    <xf numFmtId="3" fontId="51" fillId="12" borderId="24" xfId="0" applyNumberFormat="1" applyFont="1" applyFill="1" applyBorder="1" applyAlignment="1">
      <alignment horizontal="center" vertical="center" wrapText="1"/>
    </xf>
    <xf numFmtId="3" fontId="51" fillId="12" borderId="23" xfId="0" applyNumberFormat="1" applyFont="1" applyFill="1" applyBorder="1" applyAlignment="1">
      <alignment horizontal="center" vertical="center" wrapText="1"/>
    </xf>
    <xf numFmtId="3" fontId="51" fillId="12" borderId="25" xfId="0" applyNumberFormat="1" applyFont="1" applyFill="1" applyBorder="1" applyAlignment="1">
      <alignment horizontal="center" vertical="center" wrapText="1"/>
    </xf>
    <xf numFmtId="3" fontId="51" fillId="12" borderId="26" xfId="0" applyNumberFormat="1" applyFont="1" applyFill="1" applyBorder="1" applyAlignment="1">
      <alignment horizontal="center" vertical="center" wrapText="1"/>
    </xf>
    <xf numFmtId="3" fontId="51" fillId="12" borderId="128" xfId="0" applyNumberFormat="1" applyFont="1" applyFill="1" applyBorder="1" applyAlignment="1">
      <alignment horizontal="center" vertical="center" wrapText="1"/>
    </xf>
    <xf numFmtId="3" fontId="51" fillId="12" borderId="130" xfId="0" applyNumberFormat="1" applyFont="1" applyFill="1" applyBorder="1" applyAlignment="1">
      <alignment horizontal="center" vertical="center" wrapText="1"/>
    </xf>
    <xf numFmtId="3" fontId="53" fillId="13" borderId="24" xfId="0" applyNumberFormat="1" applyFont="1" applyFill="1" applyBorder="1" applyAlignment="1">
      <alignment horizontal="center" vertical="center" wrapText="1"/>
    </xf>
    <xf numFmtId="3" fontId="53" fillId="13" borderId="23" xfId="0" applyNumberFormat="1" applyFont="1" applyFill="1" applyBorder="1" applyAlignment="1">
      <alignment horizontal="center" vertical="center" wrapText="1"/>
    </xf>
    <xf numFmtId="3" fontId="53" fillId="13" borderId="25" xfId="0" applyNumberFormat="1" applyFont="1" applyFill="1" applyBorder="1" applyAlignment="1">
      <alignment horizontal="center" vertical="center" wrapText="1"/>
    </xf>
    <xf numFmtId="3" fontId="53" fillId="13" borderId="26" xfId="0" applyNumberFormat="1" applyFont="1" applyFill="1" applyBorder="1" applyAlignment="1">
      <alignment horizontal="center" vertical="center" wrapText="1"/>
    </xf>
    <xf numFmtId="3" fontId="53" fillId="13" borderId="128" xfId="0" applyNumberFormat="1" applyFont="1" applyFill="1" applyBorder="1" applyAlignment="1">
      <alignment horizontal="center" vertical="center" wrapText="1"/>
    </xf>
    <xf numFmtId="3" fontId="53" fillId="13" borderId="130" xfId="0" applyNumberFormat="1" applyFont="1" applyFill="1" applyBorder="1" applyAlignment="1">
      <alignment horizontal="center" vertical="center" wrapText="1"/>
    </xf>
    <xf numFmtId="0" fontId="100" fillId="27" borderId="131" xfId="0" applyFont="1" applyFill="1" applyBorder="1" applyAlignment="1">
      <alignment horizontal="center" vertical="center"/>
    </xf>
    <xf numFmtId="0" fontId="100" fillId="27" borderId="132" xfId="0" applyFont="1" applyFill="1" applyBorder="1" applyAlignment="1">
      <alignment horizontal="center" vertical="center"/>
    </xf>
    <xf numFmtId="0" fontId="100" fillId="27" borderId="133" xfId="0" applyFont="1" applyFill="1" applyBorder="1" applyAlignment="1">
      <alignment horizontal="center" vertical="center"/>
    </xf>
    <xf numFmtId="0" fontId="49" fillId="0" borderId="134" xfId="0" applyFont="1" applyBorder="1" applyAlignment="1">
      <alignment horizontal="left" vertical="center" indent="1"/>
    </xf>
    <xf numFmtId="0" fontId="49" fillId="0" borderId="28" xfId="0" applyFont="1" applyBorder="1" applyAlignment="1">
      <alignment horizontal="left" vertical="center" indent="1"/>
    </xf>
    <xf numFmtId="0" fontId="101" fillId="27" borderId="131" xfId="0" applyFont="1" applyFill="1" applyBorder="1" applyAlignment="1">
      <alignment horizontal="center" vertical="center"/>
    </xf>
    <xf numFmtId="0" fontId="101" fillId="27" borderId="132" xfId="0" applyFont="1" applyFill="1" applyBorder="1" applyAlignment="1">
      <alignment horizontal="center" vertical="center"/>
    </xf>
    <xf numFmtId="0" fontId="101" fillId="27" borderId="133" xfId="0" applyFont="1" applyFill="1" applyBorder="1" applyAlignment="1">
      <alignment horizontal="center" vertical="center"/>
    </xf>
    <xf numFmtId="0" fontId="40" fillId="2" borderId="25" xfId="0" applyFont="1" applyFill="1" applyBorder="1" applyAlignment="1">
      <alignment horizontal="center" vertical="center"/>
    </xf>
    <xf numFmtId="0" fontId="40" fillId="2" borderId="0" xfId="0" applyFont="1" applyFill="1" applyAlignment="1">
      <alignment horizontal="center" vertical="center"/>
    </xf>
    <xf numFmtId="0" fontId="40" fillId="2" borderId="26" xfId="0" applyFont="1" applyFill="1" applyBorder="1" applyAlignment="1">
      <alignment horizontal="center" vertical="center"/>
    </xf>
    <xf numFmtId="0" fontId="42" fillId="6" borderId="22" xfId="0" applyFont="1" applyFill="1" applyBorder="1" applyAlignment="1">
      <alignment horizontal="center" vertical="center" wrapText="1"/>
    </xf>
    <xf numFmtId="0" fontId="42" fillId="2" borderId="131" xfId="0" applyFont="1" applyFill="1" applyBorder="1" applyAlignment="1">
      <alignment horizontal="center" vertical="center"/>
    </xf>
    <xf numFmtId="0" fontId="42" fillId="2" borderId="132" xfId="0" applyFont="1" applyFill="1" applyBorder="1" applyAlignment="1">
      <alignment horizontal="center" vertical="center"/>
    </xf>
    <xf numFmtId="0" fontId="42" fillId="2" borderId="133" xfId="0" applyFont="1" applyFill="1" applyBorder="1" applyAlignment="1">
      <alignment horizontal="center" vertical="center"/>
    </xf>
    <xf numFmtId="177" fontId="34" fillId="25" borderId="128" xfId="0" applyNumberFormat="1" applyFont="1" applyFill="1" applyBorder="1" applyAlignment="1">
      <alignment horizontal="center" vertical="center" wrapText="1"/>
    </xf>
    <xf numFmtId="177" fontId="34" fillId="25" borderId="130" xfId="0" applyNumberFormat="1" applyFont="1" applyFill="1" applyBorder="1" applyAlignment="1">
      <alignment horizontal="center" vertical="center" wrapText="1"/>
    </xf>
    <xf numFmtId="0" fontId="40" fillId="9" borderId="165" xfId="0" applyFont="1" applyFill="1" applyBorder="1" applyAlignment="1">
      <alignment horizontal="center" vertical="center"/>
    </xf>
    <xf numFmtId="0" fontId="40" fillId="9" borderId="166" xfId="0" applyFont="1" applyFill="1" applyBorder="1" applyAlignment="1">
      <alignment horizontal="center" vertical="center"/>
    </xf>
    <xf numFmtId="0" fontId="40" fillId="9" borderId="167" xfId="0" applyFont="1" applyFill="1" applyBorder="1" applyAlignment="1">
      <alignment horizontal="center" vertical="center"/>
    </xf>
    <xf numFmtId="0" fontId="28" fillId="8" borderId="133" xfId="0" applyFont="1" applyFill="1" applyBorder="1" applyAlignment="1">
      <alignment horizontal="center" vertical="center" wrapText="1"/>
    </xf>
    <xf numFmtId="0" fontId="28" fillId="8" borderId="22" xfId="0" applyFont="1" applyFill="1" applyBorder="1" applyAlignment="1">
      <alignment horizontal="center" vertical="center" wrapText="1"/>
    </xf>
    <xf numFmtId="177" fontId="25" fillId="0" borderId="32" xfId="0" applyNumberFormat="1" applyFont="1" applyBorder="1" applyAlignment="1">
      <alignment horizontal="left" vertical="center" indent="1"/>
    </xf>
    <xf numFmtId="177" fontId="25" fillId="0" borderId="163" xfId="0" applyNumberFormat="1" applyFont="1" applyBorder="1" applyAlignment="1">
      <alignment horizontal="left" vertical="center" indent="1"/>
    </xf>
    <xf numFmtId="177" fontId="25" fillId="0" borderId="152" xfId="0" applyNumberFormat="1" applyFont="1" applyBorder="1" applyAlignment="1">
      <alignment horizontal="left" vertical="center" indent="1"/>
    </xf>
    <xf numFmtId="177" fontId="25" fillId="0" borderId="160" xfId="0" applyNumberFormat="1" applyFont="1" applyBorder="1" applyAlignment="1">
      <alignment horizontal="left" vertical="center" indent="1"/>
    </xf>
    <xf numFmtId="0" fontId="99" fillId="7" borderId="22" xfId="0" applyFont="1" applyFill="1" applyBorder="1" applyAlignment="1">
      <alignment horizontal="center" vertical="center" wrapText="1"/>
    </xf>
    <xf numFmtId="0" fontId="99" fillId="6" borderId="22" xfId="0" applyFont="1" applyFill="1" applyBorder="1" applyAlignment="1">
      <alignment horizontal="center" vertical="center" wrapText="1"/>
    </xf>
    <xf numFmtId="3" fontId="51" fillId="12" borderId="135" xfId="0" applyNumberFormat="1" applyFont="1" applyFill="1" applyBorder="1" applyAlignment="1">
      <alignment horizontal="center" vertical="center"/>
    </xf>
    <xf numFmtId="3" fontId="51" fillId="12" borderId="29" xfId="0" applyNumberFormat="1" applyFont="1" applyFill="1" applyBorder="1" applyAlignment="1">
      <alignment horizontal="center" vertical="center"/>
    </xf>
    <xf numFmtId="0" fontId="55" fillId="5" borderId="128" xfId="0" applyFont="1" applyFill="1" applyBorder="1" applyAlignment="1">
      <alignment horizontal="center" vertical="center" wrapText="1"/>
    </xf>
    <xf numFmtId="0" fontId="55" fillId="5" borderId="130" xfId="0" applyFont="1" applyFill="1" applyBorder="1" applyAlignment="1">
      <alignment horizontal="center" vertical="center" wrapText="1"/>
    </xf>
    <xf numFmtId="177" fontId="40" fillId="25" borderId="128" xfId="0" applyNumberFormat="1" applyFont="1" applyFill="1" applyBorder="1" applyAlignment="1">
      <alignment horizontal="center" vertical="center" wrapText="1"/>
    </xf>
    <xf numFmtId="177" fontId="40" fillId="25" borderId="130" xfId="0" applyNumberFormat="1" applyFont="1" applyFill="1" applyBorder="1" applyAlignment="1">
      <alignment horizontal="center" vertical="center" wrapText="1"/>
    </xf>
    <xf numFmtId="0" fontId="63" fillId="5" borderId="143" xfId="0" applyFont="1" applyFill="1" applyBorder="1" applyAlignment="1">
      <alignment horizontal="center" vertical="center" wrapText="1"/>
    </xf>
    <xf numFmtId="0" fontId="63" fillId="5" borderId="164" xfId="0" applyFont="1" applyFill="1" applyBorder="1" applyAlignment="1">
      <alignment horizontal="center" vertical="center" wrapText="1"/>
    </xf>
    <xf numFmtId="0" fontId="63" fillId="5" borderId="162" xfId="0" applyFont="1" applyFill="1" applyBorder="1" applyAlignment="1">
      <alignment horizontal="center" vertical="center" wrapText="1"/>
    </xf>
    <xf numFmtId="0" fontId="98" fillId="21" borderId="131" xfId="0" applyFont="1" applyFill="1" applyBorder="1" applyAlignment="1">
      <alignment horizontal="center" vertical="center" wrapText="1"/>
    </xf>
    <xf numFmtId="0" fontId="98" fillId="21" borderId="132" xfId="0" applyFont="1" applyFill="1" applyBorder="1" applyAlignment="1">
      <alignment horizontal="center" vertical="center" wrapText="1"/>
    </xf>
    <xf numFmtId="0" fontId="98" fillId="21" borderId="133" xfId="0" applyFont="1" applyFill="1" applyBorder="1" applyAlignment="1">
      <alignment horizontal="center" vertical="center" wrapText="1"/>
    </xf>
    <xf numFmtId="0" fontId="41" fillId="21" borderId="152" xfId="0" applyFont="1" applyFill="1" applyBorder="1" applyAlignment="1">
      <alignment horizontal="center" vertical="center" wrapText="1"/>
    </xf>
    <xf numFmtId="0" fontId="41" fillId="21" borderId="176" xfId="0" applyFont="1" applyFill="1" applyBorder="1" applyAlignment="1">
      <alignment horizontal="center" vertical="center" wrapText="1"/>
    </xf>
    <xf numFmtId="0" fontId="41" fillId="21" borderId="160" xfId="0" applyFont="1" applyFill="1" applyBorder="1" applyAlignment="1">
      <alignment horizontal="center" vertical="center" wrapText="1"/>
    </xf>
    <xf numFmtId="3" fontId="51" fillId="13" borderId="147" xfId="0" applyNumberFormat="1" applyFont="1" applyFill="1" applyBorder="1" applyAlignment="1">
      <alignment horizontal="center" vertical="center" wrapText="1"/>
    </xf>
    <xf numFmtId="3" fontId="51" fillId="13" borderId="137" xfId="0" applyNumberFormat="1" applyFont="1" applyFill="1" applyBorder="1" applyAlignment="1">
      <alignment horizontal="center" vertical="center" wrapText="1"/>
    </xf>
    <xf numFmtId="3" fontId="51" fillId="13" borderId="148" xfId="0" applyNumberFormat="1" applyFont="1" applyFill="1" applyBorder="1" applyAlignment="1">
      <alignment horizontal="center" vertical="center" wrapText="1"/>
    </xf>
    <xf numFmtId="3" fontId="51" fillId="13" borderId="146" xfId="0" applyNumberFormat="1" applyFont="1" applyFill="1" applyBorder="1" applyAlignment="1">
      <alignment horizontal="center" vertical="center"/>
    </xf>
    <xf numFmtId="3" fontId="51" fillId="13" borderId="138" xfId="0" applyNumberFormat="1" applyFont="1" applyFill="1" applyBorder="1" applyAlignment="1">
      <alignment horizontal="center" vertical="center"/>
    </xf>
    <xf numFmtId="3" fontId="51" fillId="13" borderId="151" xfId="0" applyNumberFormat="1" applyFont="1" applyFill="1" applyBorder="1" applyAlignment="1">
      <alignment horizontal="center" vertical="center"/>
    </xf>
    <xf numFmtId="3" fontId="51" fillId="11" borderId="147" xfId="0" applyNumberFormat="1" applyFont="1" applyFill="1" applyBorder="1" applyAlignment="1">
      <alignment horizontal="center" vertical="center" wrapText="1"/>
    </xf>
    <xf numFmtId="3" fontId="51" fillId="11" borderId="137" xfId="0" applyNumberFormat="1" applyFont="1" applyFill="1" applyBorder="1" applyAlignment="1">
      <alignment horizontal="center" vertical="center" wrapText="1"/>
    </xf>
    <xf numFmtId="3" fontId="51" fillId="11" borderId="148" xfId="0" applyNumberFormat="1" applyFont="1" applyFill="1" applyBorder="1" applyAlignment="1">
      <alignment horizontal="center" vertical="center" wrapText="1"/>
    </xf>
    <xf numFmtId="3" fontId="51" fillId="11" borderId="146" xfId="0" applyNumberFormat="1" applyFont="1" applyFill="1" applyBorder="1" applyAlignment="1">
      <alignment horizontal="center" vertical="center"/>
    </xf>
    <xf numFmtId="3" fontId="51" fillId="11" borderId="138" xfId="0" applyNumberFormat="1" applyFont="1" applyFill="1" applyBorder="1" applyAlignment="1">
      <alignment horizontal="center" vertical="center"/>
    </xf>
    <xf numFmtId="3" fontId="51" fillId="11" borderId="151" xfId="0" applyNumberFormat="1" applyFont="1" applyFill="1" applyBorder="1" applyAlignment="1">
      <alignment horizontal="center" vertical="center"/>
    </xf>
    <xf numFmtId="3" fontId="51" fillId="12" borderId="131" xfId="0" applyNumberFormat="1" applyFont="1" applyFill="1" applyBorder="1" applyAlignment="1">
      <alignment horizontal="center" vertical="center" wrapText="1"/>
    </xf>
    <xf numFmtId="3" fontId="51" fillId="12" borderId="133" xfId="0" applyNumberFormat="1" applyFont="1" applyFill="1" applyBorder="1" applyAlignment="1">
      <alignment horizontal="center" vertical="center" wrapText="1"/>
    </xf>
    <xf numFmtId="0" fontId="25" fillId="0" borderId="132" xfId="0" applyFont="1" applyBorder="1" applyAlignment="1">
      <alignment horizontal="left" vertical="center" indent="1"/>
    </xf>
    <xf numFmtId="0" fontId="61" fillId="9" borderId="131" xfId="0" applyFont="1" applyFill="1" applyBorder="1" applyAlignment="1">
      <alignment horizontal="right" vertical="center" indent="2"/>
    </xf>
    <xf numFmtId="0" fontId="61" fillId="9" borderId="132" xfId="0" applyFont="1" applyFill="1" applyBorder="1" applyAlignment="1">
      <alignment horizontal="right" vertical="center" indent="2"/>
    </xf>
    <xf numFmtId="0" fontId="90" fillId="9" borderId="0" xfId="0" applyFont="1" applyFill="1" applyAlignment="1">
      <alignment horizontal="left" vertical="center" wrapText="1" indent="1"/>
    </xf>
    <xf numFmtId="0" fontId="90" fillId="9" borderId="0" xfId="0" applyFont="1" applyFill="1" applyAlignment="1">
      <alignment horizontal="left" vertical="center" indent="1"/>
    </xf>
    <xf numFmtId="0" fontId="30" fillId="0" borderId="0" xfId="0" applyFont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0" fontId="46" fillId="22" borderId="147" xfId="0" applyFont="1" applyFill="1" applyBorder="1" applyAlignment="1">
      <alignment horizontal="center" vertical="center" wrapText="1"/>
    </xf>
    <xf numFmtId="0" fontId="46" fillId="22" borderId="146" xfId="0" applyFont="1" applyFill="1" applyBorder="1" applyAlignment="1">
      <alignment horizontal="center" vertical="center" wrapText="1"/>
    </xf>
    <xf numFmtId="0" fontId="46" fillId="22" borderId="148" xfId="0" applyFont="1" applyFill="1" applyBorder="1" applyAlignment="1">
      <alignment horizontal="center" vertical="center" wrapText="1"/>
    </xf>
    <xf numFmtId="0" fontId="46" fillId="22" borderId="151" xfId="0" applyFont="1" applyFill="1" applyBorder="1" applyAlignment="1">
      <alignment horizontal="center" vertical="center" wrapText="1"/>
    </xf>
    <xf numFmtId="0" fontId="47" fillId="23" borderId="147" xfId="0" applyFont="1" applyFill="1" applyBorder="1" applyAlignment="1">
      <alignment horizontal="center" vertical="center" wrapText="1"/>
    </xf>
    <xf numFmtId="0" fontId="47" fillId="23" borderId="146" xfId="0" applyFont="1" applyFill="1" applyBorder="1" applyAlignment="1">
      <alignment horizontal="center" vertical="center" wrapText="1"/>
    </xf>
    <xf numFmtId="0" fontId="47" fillId="23" borderId="148" xfId="0" applyFont="1" applyFill="1" applyBorder="1" applyAlignment="1">
      <alignment horizontal="center" vertical="center" wrapText="1"/>
    </xf>
    <xf numFmtId="0" fontId="47" fillId="23" borderId="151" xfId="0" applyFont="1" applyFill="1" applyBorder="1" applyAlignment="1">
      <alignment horizontal="center" vertical="center" wrapText="1"/>
    </xf>
    <xf numFmtId="0" fontId="48" fillId="24" borderId="149" xfId="0" applyFont="1" applyFill="1" applyBorder="1" applyAlignment="1">
      <alignment horizontal="center" vertical="center" wrapText="1"/>
    </xf>
    <xf numFmtId="0" fontId="48" fillId="24" borderId="146" xfId="0" applyFont="1" applyFill="1" applyBorder="1" applyAlignment="1">
      <alignment horizontal="center" vertical="center" wrapText="1"/>
    </xf>
    <xf numFmtId="0" fontId="48" fillId="24" borderId="150" xfId="0" applyFont="1" applyFill="1" applyBorder="1" applyAlignment="1">
      <alignment horizontal="center" vertical="center" wrapText="1"/>
    </xf>
    <xf numFmtId="0" fontId="48" fillId="24" borderId="151" xfId="0" applyFont="1" applyFill="1" applyBorder="1" applyAlignment="1">
      <alignment horizontal="center" vertical="center" wrapText="1"/>
    </xf>
    <xf numFmtId="0" fontId="36" fillId="22" borderId="133" xfId="0" applyFont="1" applyFill="1" applyBorder="1" applyAlignment="1">
      <alignment horizontal="center" vertical="center" wrapText="1"/>
    </xf>
    <xf numFmtId="0" fontId="36" fillId="22" borderId="22" xfId="0" applyFont="1" applyFill="1" applyBorder="1" applyAlignment="1">
      <alignment horizontal="center" vertical="center" wrapText="1"/>
    </xf>
    <xf numFmtId="0" fontId="37" fillId="23" borderId="22" xfId="0" applyFont="1" applyFill="1" applyBorder="1" applyAlignment="1">
      <alignment horizontal="center" vertical="center" wrapText="1"/>
    </xf>
    <xf numFmtId="0" fontId="38" fillId="24" borderId="22" xfId="0" applyFont="1" applyFill="1" applyBorder="1" applyAlignment="1">
      <alignment horizontal="center" vertical="center" wrapText="1"/>
    </xf>
    <xf numFmtId="0" fontId="34" fillId="3" borderId="21" xfId="0" applyFont="1" applyFill="1" applyBorder="1" applyAlignment="1">
      <alignment horizontal="center" vertical="center"/>
    </xf>
    <xf numFmtId="0" fontId="34" fillId="3" borderId="23" xfId="0" applyFont="1" applyFill="1" applyBorder="1" applyAlignment="1">
      <alignment horizontal="center" vertical="center"/>
    </xf>
    <xf numFmtId="0" fontId="34" fillId="3" borderId="129" xfId="0" applyFont="1" applyFill="1" applyBorder="1" applyAlignment="1">
      <alignment horizontal="center" vertical="center"/>
    </xf>
    <xf numFmtId="0" fontId="34" fillId="3" borderId="130" xfId="0" applyFont="1" applyFill="1" applyBorder="1" applyAlignment="1">
      <alignment horizontal="center" vertical="center"/>
    </xf>
    <xf numFmtId="0" fontId="34" fillId="2" borderId="24" xfId="0" applyFont="1" applyFill="1" applyBorder="1" applyAlignment="1">
      <alignment horizontal="center" vertical="center"/>
    </xf>
    <xf numFmtId="0" fontId="34" fillId="2" borderId="23" xfId="0" applyFont="1" applyFill="1" applyBorder="1" applyAlignment="1">
      <alignment horizontal="center" vertical="center"/>
    </xf>
    <xf numFmtId="0" fontId="34" fillId="2" borderId="128" xfId="0" applyFont="1" applyFill="1" applyBorder="1" applyAlignment="1">
      <alignment horizontal="center" vertical="center"/>
    </xf>
    <xf numFmtId="0" fontId="34" fillId="2" borderId="130" xfId="0" applyFont="1" applyFill="1" applyBorder="1" applyAlignment="1">
      <alignment horizontal="center" vertical="center"/>
    </xf>
    <xf numFmtId="0" fontId="34" fillId="4" borderId="24" xfId="0" applyFont="1" applyFill="1" applyBorder="1" applyAlignment="1">
      <alignment horizontal="center" vertical="center"/>
    </xf>
    <xf numFmtId="0" fontId="34" fillId="4" borderId="23" xfId="0" applyFont="1" applyFill="1" applyBorder="1" applyAlignment="1">
      <alignment horizontal="center" vertical="center"/>
    </xf>
    <xf numFmtId="0" fontId="34" fillId="4" borderId="128" xfId="0" applyFont="1" applyFill="1" applyBorder="1" applyAlignment="1">
      <alignment horizontal="center" vertical="center"/>
    </xf>
    <xf numFmtId="0" fontId="34" fillId="4" borderId="130" xfId="0" applyFont="1" applyFill="1" applyBorder="1" applyAlignment="1">
      <alignment horizontal="center" vertical="center"/>
    </xf>
    <xf numFmtId="0" fontId="43" fillId="25" borderId="25" xfId="0" applyFont="1" applyFill="1" applyBorder="1" applyAlignment="1">
      <alignment horizontal="center" vertical="center" wrapText="1"/>
    </xf>
    <xf numFmtId="0" fontId="39" fillId="25" borderId="26" xfId="0" applyFont="1" applyFill="1" applyBorder="1" applyAlignment="1">
      <alignment horizontal="center" vertical="center"/>
    </xf>
    <xf numFmtId="0" fontId="39" fillId="25" borderId="25" xfId="0" applyFont="1" applyFill="1" applyBorder="1" applyAlignment="1">
      <alignment horizontal="center" vertical="center"/>
    </xf>
    <xf numFmtId="0" fontId="31" fillId="25" borderId="24" xfId="0" applyFont="1" applyFill="1" applyBorder="1" applyAlignment="1">
      <alignment vertical="top" wrapText="1"/>
    </xf>
    <xf numFmtId="0" fontId="31" fillId="25" borderId="25" xfId="0" applyFont="1" applyFill="1" applyBorder="1" applyAlignment="1">
      <alignment vertical="top" wrapText="1"/>
    </xf>
    <xf numFmtId="0" fontId="35" fillId="25" borderId="26" xfId="0" applyFont="1" applyFill="1" applyBorder="1" applyAlignment="1">
      <alignment horizontal="left" vertical="center" wrapText="1"/>
    </xf>
    <xf numFmtId="0" fontId="89" fillId="21" borderId="24" xfId="0" applyFont="1" applyFill="1" applyBorder="1" applyAlignment="1">
      <alignment horizontal="center" vertical="center"/>
    </xf>
    <xf numFmtId="0" fontId="89" fillId="21" borderId="21" xfId="0" applyFont="1" applyFill="1" applyBorder="1" applyAlignment="1">
      <alignment horizontal="center" vertical="center"/>
    </xf>
    <xf numFmtId="0" fontId="89" fillId="21" borderId="128" xfId="0" applyFont="1" applyFill="1" applyBorder="1" applyAlignment="1">
      <alignment horizontal="center" vertical="center"/>
    </xf>
    <xf numFmtId="0" fontId="89" fillId="21" borderId="129" xfId="0" applyFont="1" applyFill="1" applyBorder="1" applyAlignment="1">
      <alignment horizontal="center" vertical="center"/>
    </xf>
    <xf numFmtId="0" fontId="33" fillId="4" borderId="24" xfId="0" applyFont="1" applyFill="1" applyBorder="1" applyAlignment="1">
      <alignment horizontal="center" vertical="center"/>
    </xf>
    <xf numFmtId="0" fontId="33" fillId="4" borderId="23" xfId="0" applyFont="1" applyFill="1" applyBorder="1" applyAlignment="1">
      <alignment horizontal="center" vertical="center"/>
    </xf>
    <xf numFmtId="0" fontId="33" fillId="4" borderId="128" xfId="0" applyFont="1" applyFill="1" applyBorder="1" applyAlignment="1">
      <alignment horizontal="center" vertical="center"/>
    </xf>
    <xf numFmtId="0" fontId="33" fillId="4" borderId="130" xfId="0" applyFont="1" applyFill="1" applyBorder="1" applyAlignment="1">
      <alignment horizontal="center" vertical="center"/>
    </xf>
    <xf numFmtId="0" fontId="33" fillId="2" borderId="24" xfId="0" applyFont="1" applyFill="1" applyBorder="1" applyAlignment="1">
      <alignment horizontal="center" vertical="center"/>
    </xf>
    <xf numFmtId="0" fontId="33" fillId="2" borderId="23" xfId="0" applyFont="1" applyFill="1" applyBorder="1" applyAlignment="1">
      <alignment horizontal="center" vertical="center"/>
    </xf>
    <xf numFmtId="0" fontId="33" fillId="2" borderId="128" xfId="0" applyFont="1" applyFill="1" applyBorder="1" applyAlignment="1">
      <alignment horizontal="center" vertical="center"/>
    </xf>
    <xf numFmtId="0" fontId="33" fillId="2" borderId="130" xfId="0" applyFont="1" applyFill="1" applyBorder="1" applyAlignment="1">
      <alignment horizontal="center" vertical="center"/>
    </xf>
    <xf numFmtId="0" fontId="33" fillId="3" borderId="24" xfId="0" applyFont="1" applyFill="1" applyBorder="1" applyAlignment="1">
      <alignment horizontal="center" vertical="center"/>
    </xf>
    <xf numFmtId="0" fontId="33" fillId="3" borderId="23" xfId="0" applyFont="1" applyFill="1" applyBorder="1" applyAlignment="1">
      <alignment horizontal="center" vertical="center"/>
    </xf>
    <xf numFmtId="0" fontId="33" fillId="3" borderId="128" xfId="0" applyFont="1" applyFill="1" applyBorder="1" applyAlignment="1">
      <alignment horizontal="center" vertical="center"/>
    </xf>
    <xf numFmtId="0" fontId="33" fillId="3" borderId="130" xfId="0" applyFont="1" applyFill="1" applyBorder="1" applyAlignment="1">
      <alignment horizontal="center" vertical="center"/>
    </xf>
    <xf numFmtId="0" fontId="95" fillId="25" borderId="24" xfId="0" applyFont="1" applyFill="1" applyBorder="1" applyAlignment="1">
      <alignment horizontal="center" vertical="center" wrapText="1"/>
    </xf>
    <xf numFmtId="0" fontId="95" fillId="25" borderId="23" xfId="0" applyFont="1" applyFill="1" applyBorder="1" applyAlignment="1">
      <alignment horizontal="center" vertical="center" wrapText="1"/>
    </xf>
    <xf numFmtId="0" fontId="95" fillId="25" borderId="25" xfId="0" applyFont="1" applyFill="1" applyBorder="1" applyAlignment="1">
      <alignment horizontal="center" vertical="center" wrapText="1"/>
    </xf>
    <xf numFmtId="0" fontId="95" fillId="25" borderId="26" xfId="0" applyFont="1" applyFill="1" applyBorder="1" applyAlignment="1">
      <alignment horizontal="center" vertical="center" wrapText="1"/>
    </xf>
    <xf numFmtId="0" fontId="61" fillId="9" borderId="128" xfId="0" applyFont="1" applyFill="1" applyBorder="1" applyAlignment="1">
      <alignment horizontal="right" vertical="center" indent="2"/>
    </xf>
    <xf numFmtId="0" fontId="61" fillId="9" borderId="129" xfId="0" applyFont="1" applyFill="1" applyBorder="1" applyAlignment="1">
      <alignment horizontal="right" vertical="center" indent="2"/>
    </xf>
    <xf numFmtId="0" fontId="58" fillId="9" borderId="24" xfId="0" applyFont="1" applyFill="1" applyBorder="1" applyAlignment="1">
      <alignment horizontal="center" vertical="center"/>
    </xf>
    <xf numFmtId="0" fontId="58" fillId="9" borderId="21" xfId="0" applyFont="1" applyFill="1" applyBorder="1" applyAlignment="1">
      <alignment horizontal="center" vertical="center"/>
    </xf>
    <xf numFmtId="0" fontId="58" fillId="9" borderId="23" xfId="0" applyFont="1" applyFill="1" applyBorder="1" applyAlignment="1">
      <alignment horizontal="center" vertical="center"/>
    </xf>
    <xf numFmtId="0" fontId="67" fillId="9" borderId="25" xfId="0" applyFont="1" applyFill="1" applyBorder="1" applyAlignment="1">
      <alignment horizontal="left" vertical="center" indent="2"/>
    </xf>
    <xf numFmtId="0" fontId="67" fillId="9" borderId="0" xfId="0" applyFont="1" applyFill="1" applyAlignment="1">
      <alignment horizontal="left" vertical="center" indent="2"/>
    </xf>
    <xf numFmtId="0" fontId="67" fillId="9" borderId="26" xfId="0" applyFont="1" applyFill="1" applyBorder="1" applyAlignment="1">
      <alignment horizontal="left" vertical="center" indent="2"/>
    </xf>
    <xf numFmtId="0" fontId="68" fillId="21" borderId="25" xfId="0" applyFont="1" applyFill="1" applyBorder="1" applyAlignment="1">
      <alignment horizontal="center" vertical="center"/>
    </xf>
    <xf numFmtId="0" fontId="68" fillId="21" borderId="0" xfId="0" applyFont="1" applyFill="1" applyAlignment="1">
      <alignment horizontal="center" vertical="center"/>
    </xf>
    <xf numFmtId="0" fontId="68" fillId="21" borderId="26" xfId="0" applyFont="1" applyFill="1" applyBorder="1" applyAlignment="1">
      <alignment horizontal="center" vertical="center"/>
    </xf>
    <xf numFmtId="177" fontId="25" fillId="0" borderId="174" xfId="0" applyNumberFormat="1" applyFont="1" applyBorder="1" applyAlignment="1">
      <alignment horizontal="left" vertical="center" indent="1"/>
    </xf>
    <xf numFmtId="177" fontId="25" fillId="0" borderId="175" xfId="0" applyNumberFormat="1" applyFont="1" applyBorder="1" applyAlignment="1">
      <alignment horizontal="left" vertical="center" indent="1"/>
    </xf>
    <xf numFmtId="0" fontId="66" fillId="9" borderId="25" xfId="0" applyFont="1" applyFill="1" applyBorder="1" applyAlignment="1">
      <alignment horizontal="left" vertical="center" indent="1"/>
    </xf>
    <xf numFmtId="0" fontId="66" fillId="9" borderId="0" xfId="0" applyFont="1" applyFill="1" applyAlignment="1">
      <alignment horizontal="left" vertical="center" indent="1"/>
    </xf>
    <xf numFmtId="0" fontId="66" fillId="9" borderId="26" xfId="0" applyFont="1" applyFill="1" applyBorder="1" applyAlignment="1">
      <alignment horizontal="left" vertical="center" indent="1"/>
    </xf>
    <xf numFmtId="0" fontId="65" fillId="5" borderId="123" xfId="0" applyFont="1" applyFill="1" applyBorder="1" applyAlignment="1">
      <alignment horizontal="center" vertical="center"/>
    </xf>
    <xf numFmtId="0" fontId="65" fillId="5" borderId="124" xfId="0" applyFont="1" applyFill="1" applyBorder="1" applyAlignment="1">
      <alignment horizontal="center" vertical="center"/>
    </xf>
    <xf numFmtId="176" fontId="65" fillId="0" borderId="123" xfId="0" applyNumberFormat="1" applyFont="1" applyBorder="1" applyAlignment="1">
      <alignment horizontal="center" vertical="center"/>
    </xf>
    <xf numFmtId="176" fontId="65" fillId="0" borderId="124" xfId="0" applyNumberFormat="1" applyFont="1" applyBorder="1" applyAlignment="1">
      <alignment horizontal="center" vertical="center"/>
    </xf>
    <xf numFmtId="0" fontId="65" fillId="0" borderId="123" xfId="0" applyFont="1" applyBorder="1" applyAlignment="1">
      <alignment horizontal="center" vertical="center" wrapText="1"/>
    </xf>
    <xf numFmtId="0" fontId="65" fillId="5" borderId="123" xfId="0" applyFont="1" applyFill="1" applyBorder="1" applyAlignment="1">
      <alignment horizontal="center" vertical="center" wrapText="1"/>
    </xf>
    <xf numFmtId="0" fontId="81" fillId="4" borderId="131" xfId="0" applyFont="1" applyFill="1" applyBorder="1" applyAlignment="1">
      <alignment horizontal="right" vertical="center"/>
    </xf>
    <xf numFmtId="0" fontId="81" fillId="4" borderId="132" xfId="0" applyFont="1" applyFill="1" applyBorder="1" applyAlignment="1">
      <alignment horizontal="right" vertical="center"/>
    </xf>
    <xf numFmtId="0" fontId="57" fillId="9" borderId="24" xfId="0" applyFont="1" applyFill="1" applyBorder="1" applyAlignment="1">
      <alignment horizontal="center" vertical="center"/>
    </xf>
    <xf numFmtId="0" fontId="57" fillId="9" borderId="21" xfId="0" applyFont="1" applyFill="1" applyBorder="1" applyAlignment="1">
      <alignment horizontal="center" vertical="center"/>
    </xf>
    <xf numFmtId="0" fontId="57" fillId="9" borderId="23" xfId="0" applyFont="1" applyFill="1" applyBorder="1" applyAlignment="1">
      <alignment horizontal="center" vertical="center"/>
    </xf>
    <xf numFmtId="0" fontId="65" fillId="5" borderId="14" xfId="0" applyFont="1" applyFill="1" applyBorder="1" applyAlignment="1">
      <alignment horizontal="center" vertical="center" wrapText="1"/>
    </xf>
    <xf numFmtId="0" fontId="65" fillId="5" borderId="2" xfId="0" applyFont="1" applyFill="1" applyBorder="1" applyAlignment="1">
      <alignment horizontal="center" vertical="center" wrapText="1"/>
    </xf>
    <xf numFmtId="0" fontId="65" fillId="5" borderId="14" xfId="0" applyFont="1" applyFill="1" applyBorder="1" applyAlignment="1">
      <alignment horizontal="center" vertical="center"/>
    </xf>
    <xf numFmtId="0" fontId="65" fillId="5" borderId="2" xfId="0" applyFont="1" applyFill="1" applyBorder="1" applyAlignment="1">
      <alignment horizontal="center" vertical="center"/>
    </xf>
    <xf numFmtId="0" fontId="65" fillId="0" borderId="13" xfId="0" applyFont="1" applyBorder="1" applyAlignment="1">
      <alignment horizontal="center" vertical="center"/>
    </xf>
    <xf numFmtId="0" fontId="65" fillId="0" borderId="95" xfId="0" applyFont="1" applyBorder="1" applyAlignment="1">
      <alignment horizontal="center" vertical="center" wrapText="1"/>
    </xf>
    <xf numFmtId="0" fontId="65" fillId="0" borderId="96" xfId="0" applyFont="1" applyBorder="1" applyAlignment="1">
      <alignment horizontal="center" vertical="center" wrapText="1"/>
    </xf>
    <xf numFmtId="0" fontId="65" fillId="0" borderId="95" xfId="0" applyFont="1" applyBorder="1" applyAlignment="1">
      <alignment horizontal="center" vertical="center"/>
    </xf>
    <xf numFmtId="0" fontId="65" fillId="0" borderId="96" xfId="0" applyFont="1" applyBorder="1" applyAlignment="1">
      <alignment horizontal="center" vertical="center"/>
    </xf>
    <xf numFmtId="0" fontId="65" fillId="5" borderId="86" xfId="0" applyFont="1" applyFill="1" applyBorder="1" applyAlignment="1">
      <alignment horizontal="center" vertical="center"/>
    </xf>
    <xf numFmtId="0" fontId="65" fillId="0" borderId="14" xfId="0" applyFont="1" applyBorder="1" applyAlignment="1">
      <alignment horizontal="center" vertical="center" wrapText="1"/>
    </xf>
    <xf numFmtId="0" fontId="65" fillId="0" borderId="2" xfId="0" applyFont="1" applyBorder="1" applyAlignment="1">
      <alignment horizontal="center" vertical="center" wrapText="1"/>
    </xf>
    <xf numFmtId="0" fontId="65" fillId="0" borderId="14" xfId="0" applyFont="1" applyBorder="1" applyAlignment="1">
      <alignment horizontal="center" vertical="center"/>
    </xf>
    <xf numFmtId="0" fontId="65" fillId="0" borderId="2" xfId="0" applyFont="1" applyBorder="1" applyAlignment="1">
      <alignment horizontal="center" vertical="center"/>
    </xf>
    <xf numFmtId="0" fontId="57" fillId="9" borderId="22" xfId="0" applyFont="1" applyFill="1" applyBorder="1" applyAlignment="1">
      <alignment horizontal="center" vertical="center"/>
    </xf>
    <xf numFmtId="0" fontId="57" fillId="4" borderId="22" xfId="0" applyFont="1" applyFill="1" applyBorder="1" applyAlignment="1">
      <alignment horizontal="center" vertical="center"/>
    </xf>
    <xf numFmtId="0" fontId="57" fillId="26" borderId="22" xfId="0" applyFont="1" applyFill="1" applyBorder="1" applyAlignment="1">
      <alignment horizontal="center" vertical="center"/>
    </xf>
    <xf numFmtId="0" fontId="74" fillId="21" borderId="131" xfId="0" applyFont="1" applyFill="1" applyBorder="1" applyAlignment="1">
      <alignment horizontal="center" vertical="center" wrapText="1"/>
    </xf>
    <xf numFmtId="0" fontId="74" fillId="21" borderId="132" xfId="0" applyFont="1" applyFill="1" applyBorder="1" applyAlignment="1">
      <alignment horizontal="center" vertical="center" wrapText="1"/>
    </xf>
    <xf numFmtId="0" fontId="74" fillId="21" borderId="133" xfId="0" applyFont="1" applyFill="1" applyBorder="1" applyAlignment="1">
      <alignment horizontal="center" vertical="center" wrapText="1"/>
    </xf>
    <xf numFmtId="0" fontId="81" fillId="9" borderId="131" xfId="0" applyFont="1" applyFill="1" applyBorder="1" applyAlignment="1">
      <alignment horizontal="right" vertical="center"/>
    </xf>
    <xf numFmtId="0" fontId="81" fillId="9" borderId="132" xfId="0" applyFont="1" applyFill="1" applyBorder="1" applyAlignment="1">
      <alignment horizontal="right" vertical="center"/>
    </xf>
    <xf numFmtId="0" fontId="81" fillId="26" borderId="131" xfId="0" applyFont="1" applyFill="1" applyBorder="1" applyAlignment="1">
      <alignment horizontal="right" vertical="center"/>
    </xf>
    <xf numFmtId="0" fontId="81" fillId="26" borderId="132" xfId="0" applyFont="1" applyFill="1" applyBorder="1" applyAlignment="1">
      <alignment horizontal="right" vertical="center"/>
    </xf>
    <xf numFmtId="0" fontId="65" fillId="5" borderId="16" xfId="0" applyFont="1" applyFill="1" applyBorder="1" applyAlignment="1">
      <alignment horizontal="center" vertical="center" wrapText="1"/>
    </xf>
    <xf numFmtId="0" fontId="65" fillId="5" borderId="34" xfId="0" applyFont="1" applyFill="1" applyBorder="1" applyAlignment="1">
      <alignment horizontal="center" vertical="center"/>
    </xf>
    <xf numFmtId="176" fontId="65" fillId="5" borderId="16" xfId="0" applyNumberFormat="1" applyFont="1" applyFill="1" applyBorder="1" applyAlignment="1">
      <alignment horizontal="center" vertical="center"/>
    </xf>
    <xf numFmtId="176" fontId="65" fillId="5" borderId="168" xfId="0" applyNumberFormat="1" applyFont="1" applyFill="1" applyBorder="1" applyAlignment="1">
      <alignment horizontal="center" vertical="center"/>
    </xf>
    <xf numFmtId="0" fontId="54" fillId="5" borderId="72" xfId="0" applyFont="1" applyFill="1" applyBorder="1" applyAlignment="1">
      <alignment horizontal="center" vertical="center"/>
    </xf>
    <xf numFmtId="0" fontId="54" fillId="5" borderId="73" xfId="0" applyFont="1" applyFill="1" applyBorder="1" applyAlignment="1">
      <alignment horizontal="center" vertical="center"/>
    </xf>
    <xf numFmtId="0" fontId="54" fillId="5" borderId="75" xfId="0" applyFont="1" applyFill="1" applyBorder="1" applyAlignment="1">
      <alignment horizontal="center" vertical="center"/>
    </xf>
    <xf numFmtId="0" fontId="65" fillId="0" borderId="12" xfId="0" applyFont="1" applyBorder="1" applyAlignment="1">
      <alignment horizontal="center" vertical="center" wrapText="1"/>
    </xf>
    <xf numFmtId="0" fontId="65" fillId="0" borderId="1" xfId="0" applyFont="1" applyBorder="1" applyAlignment="1">
      <alignment horizontal="center" vertical="center"/>
    </xf>
    <xf numFmtId="176" fontId="65" fillId="0" borderId="12" xfId="0" applyNumberFormat="1" applyFont="1" applyBorder="1" applyAlignment="1">
      <alignment horizontal="center" vertical="center"/>
    </xf>
    <xf numFmtId="176" fontId="65" fillId="0" borderId="69" xfId="0" applyNumberFormat="1" applyFont="1" applyBorder="1" applyAlignment="1">
      <alignment horizontal="center" vertical="center"/>
    </xf>
    <xf numFmtId="0" fontId="81" fillId="9" borderId="128" xfId="0" applyFont="1" applyFill="1" applyBorder="1" applyAlignment="1">
      <alignment horizontal="right" vertical="center"/>
    </xf>
    <xf numFmtId="0" fontId="81" fillId="9" borderId="129" xfId="0" applyFont="1" applyFill="1" applyBorder="1" applyAlignment="1">
      <alignment horizontal="right" vertical="center"/>
    </xf>
    <xf numFmtId="0" fontId="0" fillId="9" borderId="25" xfId="0" applyFill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9" borderId="26" xfId="0" applyFill="1" applyBorder="1" applyAlignment="1">
      <alignment horizontal="center" vertical="center"/>
    </xf>
    <xf numFmtId="0" fontId="86" fillId="9" borderId="25" xfId="0" applyFont="1" applyFill="1" applyBorder="1" applyAlignment="1">
      <alignment horizontal="left" vertical="center" indent="1"/>
    </xf>
    <xf numFmtId="0" fontId="6" fillId="2" borderId="10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6" fillId="4" borderId="10" xfId="0" applyFont="1" applyFill="1" applyBorder="1" applyAlignment="1">
      <alignment horizontal="center" vertical="center"/>
    </xf>
    <xf numFmtId="0" fontId="10" fillId="9" borderId="17" xfId="0" applyFont="1" applyFill="1" applyBorder="1" applyAlignment="1">
      <alignment horizontal="center" vertical="center"/>
    </xf>
    <xf numFmtId="0" fontId="10" fillId="9" borderId="18" xfId="0" applyFont="1" applyFill="1" applyBorder="1" applyAlignment="1">
      <alignment horizontal="center" vertical="center"/>
    </xf>
    <xf numFmtId="0" fontId="10" fillId="9" borderId="19" xfId="0" applyFont="1" applyFill="1" applyBorder="1" applyAlignment="1">
      <alignment horizontal="center" vertical="center"/>
    </xf>
    <xf numFmtId="0" fontId="3" fillId="9" borderId="169" xfId="0" applyFont="1" applyFill="1" applyBorder="1" applyAlignment="1">
      <alignment horizontal="center" vertical="center"/>
    </xf>
    <xf numFmtId="0" fontId="3" fillId="9" borderId="170" xfId="0" applyFont="1" applyFill="1" applyBorder="1" applyAlignment="1">
      <alignment horizontal="center" vertical="center"/>
    </xf>
    <xf numFmtId="0" fontId="14" fillId="0" borderId="14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5" borderId="14" xfId="0" applyFont="1" applyFill="1" applyBorder="1" applyAlignment="1">
      <alignment horizontal="center" vertical="center" wrapText="1"/>
    </xf>
    <xf numFmtId="0" fontId="14" fillId="5" borderId="2" xfId="0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5" borderId="14" xfId="0" applyFont="1" applyFill="1" applyBorder="1" applyAlignment="1">
      <alignment horizontal="center" vertical="center"/>
    </xf>
    <xf numFmtId="0" fontId="14" fillId="5" borderId="2" xfId="0" applyFont="1" applyFill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3" fillId="15" borderId="0" xfId="0" applyFont="1" applyFill="1" applyAlignment="1">
      <alignment horizontal="center" vertical="center" wrapText="1"/>
    </xf>
    <xf numFmtId="0" fontId="3" fillId="15" borderId="59" xfId="0" applyFont="1" applyFill="1" applyBorder="1" applyAlignment="1">
      <alignment horizontal="center" vertical="center" wrapText="1"/>
    </xf>
    <xf numFmtId="0" fontId="20" fillId="15" borderId="48" xfId="0" applyFont="1" applyFill="1" applyBorder="1" applyAlignment="1">
      <alignment horizontal="left" vertical="top" wrapText="1" indent="1"/>
    </xf>
    <xf numFmtId="0" fontId="20" fillId="15" borderId="49" xfId="0" applyFont="1" applyFill="1" applyBorder="1" applyAlignment="1">
      <alignment horizontal="left" vertical="top" wrapText="1" indent="1"/>
    </xf>
    <xf numFmtId="0" fontId="20" fillId="15" borderId="50" xfId="0" applyFont="1" applyFill="1" applyBorder="1" applyAlignment="1">
      <alignment horizontal="left" vertical="top" wrapText="1" indent="1"/>
    </xf>
    <xf numFmtId="0" fontId="14" fillId="0" borderId="95" xfId="0" applyFont="1" applyBorder="1" applyAlignment="1">
      <alignment horizontal="center" vertical="center" wrapText="1"/>
    </xf>
    <xf numFmtId="0" fontId="14" fillId="0" borderId="96" xfId="0" applyFont="1" applyBorder="1" applyAlignment="1">
      <alignment horizontal="center" vertical="center" wrapText="1"/>
    </xf>
    <xf numFmtId="0" fontId="14" fillId="0" borderId="95" xfId="0" applyFont="1" applyBorder="1" applyAlignment="1">
      <alignment horizontal="center" vertical="center"/>
    </xf>
    <xf numFmtId="0" fontId="14" fillId="0" borderId="96" xfId="0" applyFont="1" applyBorder="1" applyAlignment="1">
      <alignment horizontal="center" vertical="center"/>
    </xf>
    <xf numFmtId="0" fontId="16" fillId="5" borderId="13" xfId="0" applyFont="1" applyFill="1" applyBorder="1" applyAlignment="1">
      <alignment horizontal="center" vertical="center" wrapText="1"/>
    </xf>
    <xf numFmtId="0" fontId="16" fillId="5" borderId="102" xfId="0" applyFont="1" applyFill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 wrapText="1"/>
    </xf>
    <xf numFmtId="0" fontId="16" fillId="0" borderId="102" xfId="0" applyFont="1" applyBorder="1" applyAlignment="1">
      <alignment horizontal="center" vertical="center" wrapText="1"/>
    </xf>
    <xf numFmtId="0" fontId="14" fillId="5" borderId="86" xfId="0" applyFont="1" applyFill="1" applyBorder="1" applyAlignment="1">
      <alignment horizontal="center" vertical="center"/>
    </xf>
    <xf numFmtId="0" fontId="12" fillId="0" borderId="95" xfId="0" applyFont="1" applyBorder="1" applyAlignment="1">
      <alignment horizontal="center" vertical="center" wrapText="1"/>
    </xf>
    <xf numFmtId="0" fontId="12" fillId="0" borderId="96" xfId="0" applyFont="1" applyBorder="1" applyAlignment="1">
      <alignment horizontal="center" vertical="center" wrapText="1"/>
    </xf>
    <xf numFmtId="0" fontId="12" fillId="0" borderId="97" xfId="0" applyFont="1" applyBorder="1" applyAlignment="1">
      <alignment horizontal="center" vertical="center" wrapText="1"/>
    </xf>
    <xf numFmtId="0" fontId="12" fillId="0" borderId="98" xfId="0" applyFont="1" applyBorder="1" applyAlignment="1">
      <alignment horizontal="center" vertical="center" wrapText="1"/>
    </xf>
    <xf numFmtId="0" fontId="14" fillId="5" borderId="100" xfId="0" applyFont="1" applyFill="1" applyBorder="1" applyAlignment="1">
      <alignment horizontal="center" vertical="center"/>
    </xf>
    <xf numFmtId="0" fontId="0" fillId="14" borderId="91" xfId="0" applyFill="1" applyBorder="1" applyAlignment="1">
      <alignment horizontal="left" vertical="center" indent="1"/>
    </xf>
    <xf numFmtId="0" fontId="0" fillId="14" borderId="92" xfId="0" applyFill="1" applyBorder="1" applyAlignment="1">
      <alignment horizontal="left" vertical="center" indent="1"/>
    </xf>
    <xf numFmtId="0" fontId="0" fillId="0" borderId="91" xfId="0" applyBorder="1" applyAlignment="1">
      <alignment horizontal="left" vertical="center" indent="1"/>
    </xf>
    <xf numFmtId="0" fontId="0" fillId="0" borderId="92" xfId="0" applyBorder="1" applyAlignment="1">
      <alignment horizontal="left" vertical="center" indent="1"/>
    </xf>
    <xf numFmtId="0" fontId="0" fillId="0" borderId="93" xfId="0" applyBorder="1" applyAlignment="1">
      <alignment horizontal="left" vertical="center" indent="1"/>
    </xf>
    <xf numFmtId="0" fontId="0" fillId="0" borderId="98" xfId="0" applyBorder="1" applyAlignment="1">
      <alignment horizontal="left" vertical="center" indent="1"/>
    </xf>
    <xf numFmtId="0" fontId="14" fillId="5" borderId="87" xfId="0" applyFont="1" applyFill="1" applyBorder="1" applyAlignment="1">
      <alignment horizontal="center" vertical="center"/>
    </xf>
    <xf numFmtId="0" fontId="14" fillId="5" borderId="89" xfId="0" applyFont="1" applyFill="1" applyBorder="1" applyAlignment="1">
      <alignment horizontal="center" vertical="center"/>
    </xf>
    <xf numFmtId="0" fontId="14" fillId="5" borderId="90" xfId="0" applyFont="1" applyFill="1" applyBorder="1" applyAlignment="1">
      <alignment horizontal="center" vertical="center"/>
    </xf>
    <xf numFmtId="0" fontId="12" fillId="0" borderId="14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30" xfId="0" applyFont="1" applyBorder="1" applyAlignment="1">
      <alignment horizontal="center" vertical="center" wrapText="1"/>
    </xf>
    <xf numFmtId="0" fontId="12" fillId="0" borderId="92" xfId="0" applyFont="1" applyBorder="1" applyAlignment="1">
      <alignment horizontal="center" vertical="center" wrapText="1"/>
    </xf>
    <xf numFmtId="0" fontId="12" fillId="5" borderId="14" xfId="0" applyFont="1" applyFill="1" applyBorder="1" applyAlignment="1">
      <alignment horizontal="center" vertical="center" wrapText="1"/>
    </xf>
    <xf numFmtId="0" fontId="12" fillId="5" borderId="2" xfId="0" applyFont="1" applyFill="1" applyBorder="1" applyAlignment="1">
      <alignment horizontal="center" vertical="center" wrapText="1"/>
    </xf>
    <xf numFmtId="0" fontId="12" fillId="5" borderId="30" xfId="0" applyFont="1" applyFill="1" applyBorder="1" applyAlignment="1">
      <alignment horizontal="center" vertical="center" wrapText="1"/>
    </xf>
    <xf numFmtId="0" fontId="12" fillId="5" borderId="92" xfId="0" applyFont="1" applyFill="1" applyBorder="1" applyAlignment="1">
      <alignment horizontal="center" vertical="center" wrapText="1"/>
    </xf>
    <xf numFmtId="0" fontId="14" fillId="5" borderId="88" xfId="0" applyFont="1" applyFill="1" applyBorder="1" applyAlignment="1">
      <alignment horizontal="center" vertical="center"/>
    </xf>
    <xf numFmtId="0" fontId="3" fillId="16" borderId="120" xfId="0" applyFont="1" applyFill="1" applyBorder="1" applyAlignment="1">
      <alignment horizontal="center" vertical="center"/>
    </xf>
    <xf numFmtId="0" fontId="3" fillId="16" borderId="83" xfId="0" applyFont="1" applyFill="1" applyBorder="1" applyAlignment="1">
      <alignment horizontal="center" vertical="center"/>
    </xf>
    <xf numFmtId="0" fontId="3" fillId="16" borderId="84" xfId="0" applyFont="1" applyFill="1" applyBorder="1" applyAlignment="1">
      <alignment horizontal="center" vertical="center"/>
    </xf>
    <xf numFmtId="0" fontId="0" fillId="14" borderId="111" xfId="0" applyFill="1" applyBorder="1" applyAlignment="1">
      <alignment horizontal="left" vertical="center" indent="1"/>
    </xf>
    <xf numFmtId="0" fontId="0" fillId="14" borderId="112" xfId="0" applyFill="1" applyBorder="1" applyAlignment="1">
      <alignment horizontal="left" vertical="center" indent="1"/>
    </xf>
    <xf numFmtId="0" fontId="6" fillId="15" borderId="113" xfId="0" applyFont="1" applyFill="1" applyBorder="1" applyAlignment="1">
      <alignment horizontal="center" vertical="center"/>
    </xf>
    <xf numFmtId="0" fontId="6" fillId="15" borderId="114" xfId="0" applyFont="1" applyFill="1" applyBorder="1" applyAlignment="1">
      <alignment horizontal="center" vertical="center"/>
    </xf>
    <xf numFmtId="0" fontId="6" fillId="15" borderId="115" xfId="0" applyFont="1" applyFill="1" applyBorder="1" applyAlignment="1">
      <alignment horizontal="center" vertical="center"/>
    </xf>
    <xf numFmtId="0" fontId="6" fillId="15" borderId="116" xfId="0" applyFont="1" applyFill="1" applyBorder="1" applyAlignment="1">
      <alignment horizontal="center" vertical="center"/>
    </xf>
    <xf numFmtId="0" fontId="3" fillId="20" borderId="36" xfId="0" applyFont="1" applyFill="1" applyBorder="1" applyAlignment="1">
      <alignment horizontal="center" vertical="center"/>
    </xf>
    <xf numFmtId="0" fontId="3" fillId="20" borderId="37" xfId="0" applyFont="1" applyFill="1" applyBorder="1" applyAlignment="1">
      <alignment horizontal="center" vertical="center"/>
    </xf>
    <xf numFmtId="0" fontId="3" fillId="20" borderId="38" xfId="0" applyFont="1" applyFill="1" applyBorder="1" applyAlignment="1">
      <alignment horizontal="center" vertical="center"/>
    </xf>
    <xf numFmtId="0" fontId="3" fillId="20" borderId="39" xfId="0" applyFont="1" applyFill="1" applyBorder="1" applyAlignment="1">
      <alignment horizontal="center" vertical="center"/>
    </xf>
    <xf numFmtId="0" fontId="0" fillId="14" borderId="65" xfId="0" applyFill="1" applyBorder="1" applyAlignment="1">
      <alignment horizontal="left" vertical="center" indent="1"/>
    </xf>
    <xf numFmtId="0" fontId="0" fillId="14" borderId="66" xfId="0" applyFill="1" applyBorder="1" applyAlignment="1">
      <alignment horizontal="left" vertical="center" indent="1"/>
    </xf>
    <xf numFmtId="0" fontId="0" fillId="0" borderId="65" xfId="0" applyBorder="1" applyAlignment="1">
      <alignment horizontal="left" vertical="center" indent="1"/>
    </xf>
    <xf numFmtId="0" fontId="0" fillId="0" borderId="66" xfId="0" applyBorder="1" applyAlignment="1">
      <alignment horizontal="left" vertical="center" indent="1"/>
    </xf>
    <xf numFmtId="0" fontId="0" fillId="14" borderId="64" xfId="0" applyFill="1" applyBorder="1" applyAlignment="1">
      <alignment horizontal="left" vertical="center" indent="1"/>
    </xf>
    <xf numFmtId="0" fontId="0" fillId="14" borderId="39" xfId="0" applyFill="1" applyBorder="1" applyAlignment="1">
      <alignment horizontal="left" vertical="center" indent="1"/>
    </xf>
    <xf numFmtId="0" fontId="16" fillId="0" borderId="44" xfId="0" applyFont="1" applyBorder="1" applyAlignment="1">
      <alignment horizontal="center" vertical="center" wrapText="1"/>
    </xf>
    <xf numFmtId="0" fontId="16" fillId="0" borderId="43" xfId="0" applyFont="1" applyBorder="1" applyAlignment="1">
      <alignment horizontal="center" vertical="center" wrapText="1"/>
    </xf>
    <xf numFmtId="0" fontId="14" fillId="5" borderId="71" xfId="0" applyFont="1" applyFill="1" applyBorder="1" applyAlignment="1">
      <alignment horizontal="center" vertical="center"/>
    </xf>
    <xf numFmtId="0" fontId="14" fillId="5" borderId="82" xfId="0" applyFont="1" applyFill="1" applyBorder="1" applyAlignment="1">
      <alignment horizontal="center" vertical="center"/>
    </xf>
    <xf numFmtId="0" fontId="16" fillId="0" borderId="11" xfId="0" applyFont="1" applyBorder="1" applyAlignment="1">
      <alignment horizontal="center" vertical="center" wrapText="1"/>
    </xf>
    <xf numFmtId="0" fontId="16" fillId="0" borderId="80" xfId="0" applyFont="1" applyBorder="1" applyAlignment="1">
      <alignment horizontal="center" vertical="center" wrapText="1"/>
    </xf>
    <xf numFmtId="0" fontId="16" fillId="5" borderId="77" xfId="0" applyFont="1" applyFill="1" applyBorder="1" applyAlignment="1">
      <alignment horizontal="center" vertical="center" wrapText="1"/>
    </xf>
    <xf numFmtId="0" fontId="14" fillId="5" borderId="72" xfId="0" applyFont="1" applyFill="1" applyBorder="1" applyAlignment="1">
      <alignment horizontal="center" vertical="center"/>
    </xf>
    <xf numFmtId="0" fontId="14" fillId="5" borderId="74" xfId="0" applyFont="1" applyFill="1" applyBorder="1" applyAlignment="1">
      <alignment horizontal="center" vertical="center"/>
    </xf>
    <xf numFmtId="0" fontId="14" fillId="5" borderId="75" xfId="0" applyFont="1" applyFill="1" applyBorder="1" applyAlignment="1">
      <alignment horizontal="center" vertical="center"/>
    </xf>
    <xf numFmtId="0" fontId="12" fillId="0" borderId="12" xfId="0" applyFont="1" applyBorder="1" applyAlignment="1">
      <alignment horizontal="center" vertical="center" wrapText="1"/>
    </xf>
    <xf numFmtId="0" fontId="12" fillId="0" borderId="31" xfId="0" applyFont="1" applyBorder="1" applyAlignment="1">
      <alignment horizontal="center" vertical="center" wrapText="1"/>
    </xf>
    <xf numFmtId="0" fontId="12" fillId="0" borderId="69" xfId="0" applyFont="1" applyBorder="1" applyAlignment="1">
      <alignment horizontal="center" vertical="center" wrapText="1"/>
    </xf>
    <xf numFmtId="0" fontId="12" fillId="5" borderId="66" xfId="0" applyFont="1" applyFill="1" applyBorder="1" applyAlignment="1">
      <alignment horizontal="center" vertical="center" wrapText="1"/>
    </xf>
    <xf numFmtId="0" fontId="12" fillId="0" borderId="42" xfId="0" applyFont="1" applyBorder="1" applyAlignment="1">
      <alignment horizontal="center" vertical="center" wrapText="1"/>
    </xf>
    <xf numFmtId="0" fontId="12" fillId="0" borderId="41" xfId="0" applyFont="1" applyBorder="1" applyAlignment="1">
      <alignment horizontal="center" vertical="center" wrapText="1"/>
    </xf>
    <xf numFmtId="0" fontId="12" fillId="0" borderId="67" xfId="0" applyFont="1" applyBorder="1" applyAlignment="1">
      <alignment horizontal="center" vertical="center" wrapText="1"/>
    </xf>
    <xf numFmtId="0" fontId="12" fillId="0" borderId="45" xfId="0" applyFont="1" applyBorder="1" applyAlignment="1">
      <alignment horizontal="center" vertical="center" wrapText="1"/>
    </xf>
    <xf numFmtId="0" fontId="14" fillId="5" borderId="73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6" fillId="0" borderId="77" xfId="0" applyFont="1" applyBorder="1" applyAlignment="1">
      <alignment horizontal="center" vertical="center" wrapText="1"/>
    </xf>
    <xf numFmtId="0" fontId="0" fillId="0" borderId="63" xfId="0" applyBorder="1" applyAlignment="1">
      <alignment horizontal="left" vertical="center" indent="1"/>
    </xf>
    <xf numFmtId="0" fontId="0" fillId="0" borderId="67" xfId="0" applyBorder="1" applyAlignment="1">
      <alignment horizontal="left" vertical="center" indent="1"/>
    </xf>
    <xf numFmtId="0" fontId="6" fillId="9" borderId="46" xfId="0" applyFont="1" applyFill="1" applyBorder="1" applyAlignment="1">
      <alignment horizontal="center" vertical="center"/>
    </xf>
    <xf numFmtId="0" fontId="6" fillId="9" borderId="47" xfId="0" applyFont="1" applyFill="1" applyBorder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0" fontId="6" fillId="9" borderId="59" xfId="0" applyFont="1" applyFill="1" applyBorder="1" applyAlignment="1">
      <alignment horizontal="center" vertical="center"/>
    </xf>
    <xf numFmtId="0" fontId="20" fillId="9" borderId="48" xfId="0" applyFont="1" applyFill="1" applyBorder="1" applyAlignment="1">
      <alignment horizontal="left" vertical="center" wrapText="1" indent="2"/>
    </xf>
    <xf numFmtId="0" fontId="20" fillId="9" borderId="49" xfId="0" applyFont="1" applyFill="1" applyBorder="1" applyAlignment="1">
      <alignment horizontal="left" vertical="center" wrapText="1" indent="2"/>
    </xf>
    <xf numFmtId="0" fontId="20" fillId="9" borderId="50" xfId="0" applyFont="1" applyFill="1" applyBorder="1" applyAlignment="1">
      <alignment horizontal="left" vertical="center" wrapText="1" indent="2"/>
    </xf>
    <xf numFmtId="0" fontId="3" fillId="9" borderId="125" xfId="0" applyFont="1" applyFill="1" applyBorder="1" applyAlignment="1">
      <alignment horizontal="center" vertical="center" wrapText="1"/>
    </xf>
    <xf numFmtId="0" fontId="3" fillId="9" borderId="126" xfId="0" applyFont="1" applyFill="1" applyBorder="1" applyAlignment="1">
      <alignment horizontal="center" vertical="center" wrapText="1"/>
    </xf>
    <xf numFmtId="0" fontId="3" fillId="9" borderId="127" xfId="0" applyFont="1" applyFill="1" applyBorder="1" applyAlignment="1">
      <alignment horizontal="center" vertical="center" wrapText="1"/>
    </xf>
    <xf numFmtId="0" fontId="14" fillId="0" borderId="42" xfId="0" applyFont="1" applyBorder="1" applyAlignment="1">
      <alignment horizontal="center" vertical="center" wrapText="1"/>
    </xf>
    <xf numFmtId="0" fontId="14" fillId="0" borderId="45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176" fontId="14" fillId="0" borderId="42" xfId="0" applyNumberFormat="1" applyFont="1" applyBorder="1" applyAlignment="1">
      <alignment horizontal="center" vertical="center"/>
    </xf>
    <xf numFmtId="176" fontId="14" fillId="0" borderId="67" xfId="0" applyNumberFormat="1" applyFont="1" applyBorder="1" applyAlignment="1">
      <alignment horizontal="center" vertical="center"/>
    </xf>
    <xf numFmtId="176" fontId="14" fillId="0" borderId="12" xfId="0" applyNumberFormat="1" applyFont="1" applyBorder="1" applyAlignment="1">
      <alignment horizontal="center" vertical="center"/>
    </xf>
    <xf numFmtId="176" fontId="14" fillId="0" borderId="69" xfId="0" applyNumberFormat="1" applyFont="1" applyBorder="1" applyAlignment="1">
      <alignment horizontal="center" vertical="center"/>
    </xf>
    <xf numFmtId="176" fontId="14" fillId="5" borderId="14" xfId="0" applyNumberFormat="1" applyFont="1" applyFill="1" applyBorder="1" applyAlignment="1">
      <alignment horizontal="center" vertical="center"/>
    </xf>
    <xf numFmtId="176" fontId="14" fillId="5" borderId="66" xfId="0" applyNumberFormat="1" applyFont="1" applyFill="1" applyBorder="1" applyAlignment="1">
      <alignment horizontal="center" vertical="center"/>
    </xf>
    <xf numFmtId="0" fontId="3" fillId="17" borderId="53" xfId="0" applyFont="1" applyFill="1" applyBorder="1" applyAlignment="1">
      <alignment horizontal="center" vertical="center" wrapText="1"/>
    </xf>
    <xf numFmtId="0" fontId="3" fillId="17" borderId="0" xfId="0" applyFont="1" applyFill="1" applyAlignment="1">
      <alignment horizontal="center" vertical="center" wrapText="1"/>
    </xf>
    <xf numFmtId="0" fontId="20" fillId="17" borderId="57" xfId="0" applyFont="1" applyFill="1" applyBorder="1" applyAlignment="1">
      <alignment horizontal="left" vertical="top" wrapText="1" indent="1"/>
    </xf>
    <xf numFmtId="0" fontId="20" fillId="17" borderId="58" xfId="0" applyFont="1" applyFill="1" applyBorder="1" applyAlignment="1">
      <alignment horizontal="left" vertical="top" wrapText="1" indent="1"/>
    </xf>
    <xf numFmtId="0" fontId="14" fillId="0" borderId="13" xfId="0" applyFont="1" applyBorder="1" applyAlignment="1">
      <alignment horizontal="center" vertical="center" wrapText="1"/>
    </xf>
    <xf numFmtId="0" fontId="14" fillId="5" borderId="13" xfId="0" applyFont="1" applyFill="1" applyBorder="1" applyAlignment="1">
      <alignment horizontal="center" vertical="center" wrapText="1"/>
    </xf>
    <xf numFmtId="0" fontId="16" fillId="5" borderId="94" xfId="0" applyFont="1" applyFill="1" applyBorder="1" applyAlignment="1">
      <alignment horizontal="center" vertical="center" wrapText="1"/>
    </xf>
    <xf numFmtId="0" fontId="16" fillId="5" borderId="103" xfId="0" applyFont="1" applyFill="1" applyBorder="1" applyAlignment="1">
      <alignment horizontal="center" vertical="center" wrapText="1"/>
    </xf>
    <xf numFmtId="0" fontId="3" fillId="18" borderId="104" xfId="0" applyFont="1" applyFill="1" applyBorder="1" applyAlignment="1">
      <alignment horizontal="center" vertical="center"/>
    </xf>
    <xf numFmtId="0" fontId="3" fillId="18" borderId="117" xfId="0" applyFont="1" applyFill="1" applyBorder="1" applyAlignment="1">
      <alignment horizontal="center" vertical="center"/>
    </xf>
    <xf numFmtId="0" fontId="0" fillId="14" borderId="85" xfId="0" applyFill="1" applyBorder="1" applyAlignment="1">
      <alignment horizontal="left" vertical="center" indent="1"/>
    </xf>
    <xf numFmtId="0" fontId="0" fillId="14" borderId="90" xfId="0" applyFill="1" applyBorder="1" applyAlignment="1">
      <alignment horizontal="left" vertical="center" indent="1"/>
    </xf>
    <xf numFmtId="0" fontId="6" fillId="17" borderId="55" xfId="0" applyFont="1" applyFill="1" applyBorder="1" applyAlignment="1">
      <alignment horizontal="center" vertical="center"/>
    </xf>
    <xf numFmtId="0" fontId="6" fillId="17" borderId="56" xfId="0" applyFont="1" applyFill="1" applyBorder="1" applyAlignment="1">
      <alignment horizontal="center" vertical="center"/>
    </xf>
    <xf numFmtId="0" fontId="6" fillId="17" borderId="53" xfId="0" applyFont="1" applyFill="1" applyBorder="1" applyAlignment="1">
      <alignment horizontal="center" vertical="center"/>
    </xf>
    <xf numFmtId="0" fontId="6" fillId="17" borderId="119" xfId="0" applyFont="1" applyFill="1" applyBorder="1" applyAlignment="1">
      <alignment horizontal="center" vertical="center"/>
    </xf>
  </cellXfs>
  <cellStyles count="1">
    <cellStyle name="표준" xfId="0" builtinId="0"/>
  </cellStyles>
  <dxfs count="16">
    <dxf>
      <fill>
        <patternFill patternType="darkDown">
          <fgColor theme="0"/>
          <bgColor theme="2" tint="-0.24994659260841701"/>
        </patternFill>
      </fill>
    </dxf>
    <dxf>
      <fill>
        <patternFill patternType="darkDown">
          <fgColor theme="0"/>
          <bgColor theme="2" tint="-0.24994659260841701"/>
        </patternFill>
      </fill>
    </dxf>
    <dxf>
      <fill>
        <patternFill patternType="darkDown">
          <fgColor theme="0"/>
          <bgColor theme="2" tint="-0.24994659260841701"/>
        </patternFill>
      </fill>
    </dxf>
    <dxf>
      <font>
        <b/>
        <i val="0"/>
      </font>
      <fill>
        <patternFill>
          <bgColor rgb="FFFFFF99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 patternType="darkUp">
          <fgColor theme="1" tint="4.9989318521683403E-2"/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FFCC"/>
        </patternFill>
      </fill>
    </dxf>
    <dxf>
      <fill>
        <patternFill patternType="darkUp">
          <fgColor theme="1" tint="4.9989318521683403E-2"/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 patternType="darkUp">
          <fgColor theme="1" tint="4.9989318521683403E-2"/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</dxfs>
  <tableStyles count="1" defaultTableStyle="TableStyleMedium2" defaultPivotStyle="PivotStyleLight16">
    <tableStyle name="표 스타일 1" pivot="0" count="1" xr9:uid="{00000000-0011-0000-FFFF-FFFF00000000}">
      <tableStyleElement type="firstRowStripe" dxfId="15"/>
    </tableStyle>
  </tableStyles>
  <colors>
    <mruColors>
      <color rgb="FFFCE16C"/>
      <color rgb="FFA40000"/>
      <color rgb="FF820000"/>
      <color rgb="FFFFFFCC"/>
      <color rgb="FFF4FF89"/>
      <color rgb="FFFFDB69"/>
      <color rgb="FFFFBC37"/>
      <color rgb="FF9933FF"/>
      <color rgb="FFFFEDB3"/>
      <color rgb="FFFFFF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22/10/relationships/richValueRel" Target="richData/richValueRel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5" Type="http://schemas.openxmlformats.org/officeDocument/2006/relationships/image" Target="../media/image10.png"/><Relationship Id="rId4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7" Type="http://schemas.openxmlformats.org/officeDocument/2006/relationships/image" Target="../media/image10.png"/><Relationship Id="rId2" Type="http://schemas.openxmlformats.org/officeDocument/2006/relationships/image" Target="../media/image12.png"/><Relationship Id="rId1" Type="http://schemas.openxmlformats.org/officeDocument/2006/relationships/image" Target="../media/image11.png"/><Relationship Id="rId6" Type="http://schemas.openxmlformats.org/officeDocument/2006/relationships/image" Target="../media/image14.png"/><Relationship Id="rId5" Type="http://schemas.openxmlformats.org/officeDocument/2006/relationships/image" Target="../media/image13.png"/><Relationship Id="rId4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7" Type="http://schemas.openxmlformats.org/officeDocument/2006/relationships/image" Target="../media/image10.png"/><Relationship Id="rId2" Type="http://schemas.openxmlformats.org/officeDocument/2006/relationships/image" Target="../media/image16.png"/><Relationship Id="rId1" Type="http://schemas.openxmlformats.org/officeDocument/2006/relationships/image" Target="../media/image15.png"/><Relationship Id="rId6" Type="http://schemas.openxmlformats.org/officeDocument/2006/relationships/image" Target="../media/image20.png"/><Relationship Id="rId5" Type="http://schemas.openxmlformats.org/officeDocument/2006/relationships/image" Target="../media/image19.png"/><Relationship Id="rId4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196378</xdr:rowOff>
    </xdr:from>
    <xdr:to>
      <xdr:col>9</xdr:col>
      <xdr:colOff>3215</xdr:colOff>
      <xdr:row>1</xdr:row>
      <xdr:rowOff>4285128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190FA135-9F6F-F5A1-8B33-6FF640284D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8088" y="196378"/>
          <a:ext cx="8239539" cy="4290456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3</xdr:row>
      <xdr:rowOff>1</xdr:rowOff>
    </xdr:from>
    <xdr:to>
      <xdr:col>2</xdr:col>
      <xdr:colOff>65314</xdr:colOff>
      <xdr:row>6</xdr:row>
      <xdr:rowOff>2400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F7F74FD6-BDA7-2B11-947D-2BF77FF616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4172" y="4593772"/>
          <a:ext cx="740228" cy="740228"/>
        </a:xfrm>
        <a:prstGeom prst="rect">
          <a:avLst/>
        </a:prstGeom>
      </xdr:spPr>
    </xdr:pic>
    <xdr:clientData/>
  </xdr:twoCellAnchor>
  <xdr:twoCellAnchor editAs="oneCell">
    <xdr:from>
      <xdr:col>1</xdr:col>
      <xdr:colOff>194113</xdr:colOff>
      <xdr:row>54</xdr:row>
      <xdr:rowOff>279779</xdr:rowOff>
    </xdr:from>
    <xdr:to>
      <xdr:col>1</xdr:col>
      <xdr:colOff>659230</xdr:colOff>
      <xdr:row>56</xdr:row>
      <xdr:rowOff>67789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A8C35361-439E-5E82-EEF9-AB2C4739FF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6391" y="17978057"/>
          <a:ext cx="465117" cy="464170"/>
        </a:xfrm>
        <a:prstGeom prst="rect">
          <a:avLst/>
        </a:prstGeom>
      </xdr:spPr>
    </xdr:pic>
    <xdr:clientData/>
  </xdr:twoCellAnchor>
  <xdr:twoCellAnchor editAs="oneCell">
    <xdr:from>
      <xdr:col>1</xdr:col>
      <xdr:colOff>262770</xdr:colOff>
      <xdr:row>70</xdr:row>
      <xdr:rowOff>0</xdr:rowOff>
    </xdr:from>
    <xdr:to>
      <xdr:col>1</xdr:col>
      <xdr:colOff>647083</xdr:colOff>
      <xdr:row>71</xdr:row>
      <xdr:rowOff>3312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45E95375-F463-6884-77FF-7F0881D490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35048" y="22641339"/>
          <a:ext cx="384313" cy="384313"/>
        </a:xfrm>
        <a:prstGeom prst="rect">
          <a:avLst/>
        </a:prstGeom>
      </xdr:spPr>
    </xdr:pic>
    <xdr:clientData/>
  </xdr:twoCellAnchor>
  <xdr:twoCellAnchor editAs="oneCell">
    <xdr:from>
      <xdr:col>5</xdr:col>
      <xdr:colOff>913450</xdr:colOff>
      <xdr:row>85</xdr:row>
      <xdr:rowOff>0</xdr:rowOff>
    </xdr:from>
    <xdr:to>
      <xdr:col>6</xdr:col>
      <xdr:colOff>919051</xdr:colOff>
      <xdr:row>86</xdr:row>
      <xdr:rowOff>1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C10809CA-EF45-F96C-19B7-C2DDB3AEA0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343936" y="26996571"/>
          <a:ext cx="1007086" cy="413658"/>
        </a:xfrm>
        <a:prstGeom prst="rect">
          <a:avLst/>
        </a:prstGeom>
      </xdr:spPr>
    </xdr:pic>
    <xdr:clientData/>
  </xdr:twoCellAnchor>
  <xdr:twoCellAnchor editAs="oneCell">
    <xdr:from>
      <xdr:col>5</xdr:col>
      <xdr:colOff>761050</xdr:colOff>
      <xdr:row>99</xdr:row>
      <xdr:rowOff>1</xdr:rowOff>
    </xdr:from>
    <xdr:to>
      <xdr:col>6</xdr:col>
      <xdr:colOff>766651</xdr:colOff>
      <xdr:row>100</xdr:row>
      <xdr:rowOff>2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6D73BF69-7634-90A7-E5F3-7143EB8A7C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191536" y="31209344"/>
          <a:ext cx="1007086" cy="413658"/>
        </a:xfrm>
        <a:prstGeom prst="rect">
          <a:avLst/>
        </a:prstGeom>
      </xdr:spPr>
    </xdr:pic>
    <xdr:clientData/>
  </xdr:twoCellAnchor>
  <xdr:twoCellAnchor editAs="oneCell">
    <xdr:from>
      <xdr:col>5</xdr:col>
      <xdr:colOff>913450</xdr:colOff>
      <xdr:row>110</xdr:row>
      <xdr:rowOff>-1</xdr:rowOff>
    </xdr:from>
    <xdr:to>
      <xdr:col>6</xdr:col>
      <xdr:colOff>919051</xdr:colOff>
      <xdr:row>110</xdr:row>
      <xdr:rowOff>405092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A18B92C3-75DC-E003-81D4-9ED00270CD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343936" y="34725428"/>
          <a:ext cx="1007086" cy="413658"/>
        </a:xfrm>
        <a:prstGeom prst="rect">
          <a:avLst/>
        </a:prstGeom>
      </xdr:spPr>
    </xdr:pic>
    <xdr:clientData/>
  </xdr:twoCellAnchor>
  <xdr:twoCellAnchor editAs="oneCell">
    <xdr:from>
      <xdr:col>5</xdr:col>
      <xdr:colOff>761050</xdr:colOff>
      <xdr:row>126</xdr:row>
      <xdr:rowOff>1</xdr:rowOff>
    </xdr:from>
    <xdr:to>
      <xdr:col>6</xdr:col>
      <xdr:colOff>766651</xdr:colOff>
      <xdr:row>127</xdr:row>
      <xdr:rowOff>3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8DB41922-A823-8B5A-F331-8A7A6989B7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191536" y="39330087"/>
          <a:ext cx="1007086" cy="413658"/>
        </a:xfrm>
        <a:prstGeom prst="rect">
          <a:avLst/>
        </a:prstGeom>
      </xdr:spPr>
    </xdr:pic>
    <xdr:clientData/>
  </xdr:twoCellAnchor>
  <xdr:oneCellAnchor>
    <xdr:from>
      <xdr:col>1</xdr:col>
      <xdr:colOff>262770</xdr:colOff>
      <xdr:row>76</xdr:row>
      <xdr:rowOff>0</xdr:rowOff>
    </xdr:from>
    <xdr:ext cx="384313" cy="384312"/>
    <xdr:pic>
      <xdr:nvPicPr>
        <xdr:cNvPr id="7" name="그림 6">
          <a:extLst>
            <a:ext uri="{FF2B5EF4-FFF2-40B4-BE49-F238E27FC236}">
              <a16:creationId xmlns:a16="http://schemas.microsoft.com/office/drawing/2014/main" id="{EA637949-0EC8-47DD-ADD9-199A3C96D7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30858" y="13480676"/>
          <a:ext cx="384313" cy="384312"/>
        </a:xfrm>
        <a:prstGeom prst="rect">
          <a:avLst/>
        </a:prstGeom>
      </xdr:spPr>
    </xdr:pic>
    <xdr:clientData/>
  </xdr:oneCellAnchor>
  <xdr:oneCellAnchor>
    <xdr:from>
      <xdr:col>3</xdr:col>
      <xdr:colOff>944905</xdr:colOff>
      <xdr:row>27</xdr:row>
      <xdr:rowOff>224118</xdr:rowOff>
    </xdr:from>
    <xdr:ext cx="465117" cy="448789"/>
    <xdr:pic>
      <xdr:nvPicPr>
        <xdr:cNvPr id="12" name="그림 11">
          <a:extLst>
            <a:ext uri="{FF2B5EF4-FFF2-40B4-BE49-F238E27FC236}">
              <a16:creationId xmlns:a16="http://schemas.microsoft.com/office/drawing/2014/main" id="{9B1E9BCE-42A7-45D3-A3FE-D7FEA734EF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365376" y="8953500"/>
          <a:ext cx="465117" cy="448789"/>
        </a:xfrm>
        <a:prstGeom prst="rect">
          <a:avLst/>
        </a:prstGeom>
      </xdr:spPr>
    </xdr:pic>
    <xdr:clientData/>
  </xdr:oneCellAnchor>
  <xdr:oneCellAnchor>
    <xdr:from>
      <xdr:col>3</xdr:col>
      <xdr:colOff>930087</xdr:colOff>
      <xdr:row>16</xdr:row>
      <xdr:rowOff>224117</xdr:rowOff>
    </xdr:from>
    <xdr:ext cx="465117" cy="448789"/>
    <xdr:pic>
      <xdr:nvPicPr>
        <xdr:cNvPr id="11" name="그림 10">
          <a:extLst>
            <a:ext uri="{FF2B5EF4-FFF2-40B4-BE49-F238E27FC236}">
              <a16:creationId xmlns:a16="http://schemas.microsoft.com/office/drawing/2014/main" id="{49F722A1-3D50-4C9B-A649-895CF94D58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350558" y="8650941"/>
          <a:ext cx="465117" cy="448789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198368</xdr:colOff>
      <xdr:row>1</xdr:row>
      <xdr:rowOff>0</xdr:rowOff>
    </xdr:from>
    <xdr:to>
      <xdr:col>9</xdr:col>
      <xdr:colOff>0</xdr:colOff>
      <xdr:row>2</xdr:row>
      <xdr:rowOff>0</xdr:rowOff>
    </xdr:to>
    <xdr:sp macro="" textlink="">
      <xdr:nvSpPr>
        <xdr:cNvPr id="2" name="사각형: 둥근 위쪽 모서리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198368" y="209550"/>
          <a:ext cx="6735832" cy="485775"/>
        </a:xfrm>
        <a:prstGeom prst="round2SameRect">
          <a:avLst>
            <a:gd name="adj1" fmla="val 50000"/>
            <a:gd name="adj2" fmla="val 0"/>
          </a:avLst>
        </a:prstGeom>
        <a:solidFill>
          <a:srgbClr val="3617CE"/>
        </a:solidFill>
        <a:ln w="6350">
          <a:solidFill>
            <a:srgbClr val="3617CE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altLang="en-US" sz="1600" b="1"/>
        </a:p>
      </xdr:txBody>
    </xdr:sp>
    <xdr:clientData/>
  </xdr:twoCellAnchor>
  <xdr:twoCellAnchor>
    <xdr:from>
      <xdr:col>0</xdr:col>
      <xdr:colOff>265043</xdr:colOff>
      <xdr:row>34</xdr:row>
      <xdr:rowOff>0</xdr:rowOff>
    </xdr:from>
    <xdr:to>
      <xdr:col>9</xdr:col>
      <xdr:colOff>0</xdr:colOff>
      <xdr:row>35</xdr:row>
      <xdr:rowOff>0</xdr:rowOff>
    </xdr:to>
    <xdr:sp macro="" textlink="">
      <xdr:nvSpPr>
        <xdr:cNvPr id="4" name="사각형: 둥근 위쪽 모서리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 flipV="1">
          <a:off x="198368" y="8915400"/>
          <a:ext cx="6888232" cy="314325"/>
        </a:xfrm>
        <a:prstGeom prst="round2SameRect">
          <a:avLst>
            <a:gd name="adj1" fmla="val 50000"/>
            <a:gd name="adj2" fmla="val 0"/>
          </a:avLst>
        </a:prstGeom>
        <a:solidFill>
          <a:srgbClr val="3617CE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altLang="en-US" sz="1600" b="1"/>
        </a:p>
      </xdr:txBody>
    </xdr:sp>
    <xdr:clientData/>
  </xdr:twoCellAnchor>
  <xdr:twoCellAnchor>
    <xdr:from>
      <xdr:col>0</xdr:col>
      <xdr:colOff>200024</xdr:colOff>
      <xdr:row>47</xdr:row>
      <xdr:rowOff>438148</xdr:rowOff>
    </xdr:from>
    <xdr:to>
      <xdr:col>9</xdr:col>
      <xdr:colOff>9525</xdr:colOff>
      <xdr:row>48</xdr:row>
      <xdr:rowOff>314323</xdr:rowOff>
    </xdr:to>
    <xdr:sp macro="" textlink="">
      <xdr:nvSpPr>
        <xdr:cNvPr id="6" name="사각형: 둥근 위쪽 모서리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 flipV="1">
          <a:off x="200024" y="13535023"/>
          <a:ext cx="6772276" cy="314325"/>
        </a:xfrm>
        <a:prstGeom prst="round2SameRect">
          <a:avLst>
            <a:gd name="adj1" fmla="val 50000"/>
            <a:gd name="adj2" fmla="val 0"/>
          </a:avLst>
        </a:prstGeom>
        <a:solidFill>
          <a:srgbClr val="3617CE"/>
        </a:solidFill>
        <a:ln w="6350">
          <a:solidFill>
            <a:srgbClr val="3617CE">
              <a:alpha val="9900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ko-KR" altLang="en-US" sz="1800" b="1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0</xdr:colOff>
      <xdr:row>43</xdr:row>
      <xdr:rowOff>0</xdr:rowOff>
    </xdr:from>
    <xdr:to>
      <xdr:col>9</xdr:col>
      <xdr:colOff>0</xdr:colOff>
      <xdr:row>45</xdr:row>
      <xdr:rowOff>0</xdr:rowOff>
    </xdr:to>
    <xdr:grpSp>
      <xdr:nvGrpSpPr>
        <xdr:cNvPr id="7" name="그룹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pSpPr/>
      </xdr:nvGrpSpPr>
      <xdr:grpSpPr>
        <a:xfrm>
          <a:off x="200025" y="9010650"/>
          <a:ext cx="6705600" cy="352425"/>
          <a:chOff x="229720" y="22189767"/>
          <a:chExt cx="7571255" cy="422583"/>
        </a:xfrm>
        <a:solidFill>
          <a:srgbClr val="3617CE"/>
        </a:solidFill>
      </xdr:grpSpPr>
      <xdr:sp macro="" textlink="">
        <xdr:nvSpPr>
          <xdr:cNvPr id="8" name="사각형: 둥근 위쪽 모서리 7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SpPr/>
        </xdr:nvSpPr>
        <xdr:spPr>
          <a:xfrm>
            <a:off x="229720" y="22190765"/>
            <a:ext cx="7571255" cy="421585"/>
          </a:xfrm>
          <a:prstGeom prst="round2SameRect">
            <a:avLst>
              <a:gd name="adj1" fmla="val 50000"/>
              <a:gd name="adj2" fmla="val 0"/>
            </a:avLst>
          </a:prstGeom>
          <a:grpFill/>
          <a:ln w="6350">
            <a:solidFill>
              <a:schemeClr val="accent1">
                <a:shade val="15000"/>
                <a:alpha val="99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ko-KR" altLang="en-US" sz="1800" b="1">
              <a:solidFill>
                <a:schemeClr val="bg1"/>
              </a:solidFill>
            </a:endParaRPr>
          </a:p>
        </xdr:txBody>
      </xdr:sp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SpPr txBox="1"/>
        </xdr:nvSpPr>
        <xdr:spPr>
          <a:xfrm>
            <a:off x="229720" y="22189767"/>
            <a:ext cx="7571255" cy="41741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ko-KR" altLang="en-US" sz="1600" b="1">
                <a:ln>
                  <a:noFill/>
                </a:ln>
                <a:solidFill>
                  <a:schemeClr val="bg1"/>
                </a:solidFill>
              </a:rPr>
              <a:t>부가서비스 </a:t>
            </a:r>
            <a:r>
              <a:rPr lang="en-US" altLang="ko-KR" sz="1600" b="1">
                <a:ln>
                  <a:noFill/>
                </a:ln>
                <a:solidFill>
                  <a:schemeClr val="bg1"/>
                </a:solidFill>
              </a:rPr>
              <a:t>/ </a:t>
            </a:r>
            <a:r>
              <a:rPr lang="ko-KR" altLang="en-US" sz="1600" b="1">
                <a:ln>
                  <a:noFill/>
                </a:ln>
                <a:solidFill>
                  <a:schemeClr val="bg1"/>
                </a:solidFill>
              </a:rPr>
              <a:t>보험</a:t>
            </a:r>
            <a:r>
              <a:rPr lang="ko-KR" altLang="en-US" sz="1600" b="1" baseline="0">
                <a:ln>
                  <a:noFill/>
                </a:ln>
                <a:solidFill>
                  <a:schemeClr val="bg1"/>
                </a:solidFill>
              </a:rPr>
              <a:t> 안내</a:t>
            </a:r>
            <a:endParaRPr lang="ko-KR" altLang="en-US" sz="1600" b="1">
              <a:ln>
                <a:noFill/>
              </a:ln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1</xdr:col>
      <xdr:colOff>0</xdr:colOff>
      <xdr:row>36</xdr:row>
      <xdr:rowOff>2197</xdr:rowOff>
    </xdr:from>
    <xdr:to>
      <xdr:col>9</xdr:col>
      <xdr:colOff>1656</xdr:colOff>
      <xdr:row>37</xdr:row>
      <xdr:rowOff>0</xdr:rowOff>
    </xdr:to>
    <xdr:grpSp>
      <xdr:nvGrpSpPr>
        <xdr:cNvPr id="12" name="그룹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GrpSpPr/>
      </xdr:nvGrpSpPr>
      <xdr:grpSpPr>
        <a:xfrm>
          <a:off x="200025" y="6317272"/>
          <a:ext cx="6707256" cy="350228"/>
          <a:chOff x="257561" y="9298712"/>
          <a:chExt cx="6899568" cy="336148"/>
        </a:xfrm>
        <a:solidFill>
          <a:srgbClr val="3617CE"/>
        </a:solidFill>
      </xdr:grpSpPr>
      <xdr:sp macro="" textlink="">
        <xdr:nvSpPr>
          <xdr:cNvPr id="13" name="사각형: 둥근 위쪽 모서리 12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SpPr/>
        </xdr:nvSpPr>
        <xdr:spPr>
          <a:xfrm>
            <a:off x="257561" y="9298712"/>
            <a:ext cx="6899568" cy="336148"/>
          </a:xfrm>
          <a:prstGeom prst="round2SameRect">
            <a:avLst>
              <a:gd name="adj1" fmla="val 50000"/>
              <a:gd name="adj2" fmla="val 0"/>
            </a:avLst>
          </a:prstGeom>
          <a:grpFill/>
          <a:ln w="6350">
            <a:solidFill>
              <a:schemeClr val="accent1">
                <a:shade val="15000"/>
                <a:alpha val="99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ko-KR" altLang="en-US" sz="1800" b="1">
              <a:solidFill>
                <a:schemeClr val="bg1"/>
              </a:solidFill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200-00000F000000}"/>
              </a:ext>
            </a:extLst>
          </xdr:cNvPr>
          <xdr:cNvSpPr txBox="1"/>
        </xdr:nvSpPr>
        <xdr:spPr>
          <a:xfrm>
            <a:off x="3192175" y="9346473"/>
            <a:ext cx="1753497" cy="234877"/>
          </a:xfrm>
          <a:prstGeom prst="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ko-KR" altLang="en-US" sz="1600" b="1">
                <a:ln>
                  <a:noFill/>
                </a:ln>
                <a:solidFill>
                  <a:schemeClr val="bg1"/>
                </a:solidFill>
                <a:latin typeface="+mj-ea"/>
                <a:ea typeface="+mj-ea"/>
              </a:rPr>
              <a:t>요금제 안내</a:t>
            </a:r>
          </a:p>
        </xdr:txBody>
      </xdr:sp>
    </xdr:grpSp>
    <xdr:clientData/>
  </xdr:twoCellAnchor>
  <xdr:twoCellAnchor>
    <xdr:from>
      <xdr:col>2</xdr:col>
      <xdr:colOff>205846</xdr:colOff>
      <xdr:row>34</xdr:row>
      <xdr:rowOff>40998</xdr:rowOff>
    </xdr:from>
    <xdr:to>
      <xdr:col>6</xdr:col>
      <xdr:colOff>115039</xdr:colOff>
      <xdr:row>34</xdr:row>
      <xdr:rowOff>271974</xdr:rowOff>
    </xdr:to>
    <xdr:grpSp>
      <xdr:nvGrpSpPr>
        <xdr:cNvPr id="3" name="그룹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pSpPr/>
      </xdr:nvGrpSpPr>
      <xdr:grpSpPr>
        <a:xfrm>
          <a:off x="1977496" y="5860773"/>
          <a:ext cx="2785743" cy="230976"/>
          <a:chOff x="1972898" y="8928808"/>
          <a:chExt cx="2898072" cy="230976"/>
        </a:xfrm>
      </xdr:grpSpPr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SpPr txBox="1"/>
        </xdr:nvSpPr>
        <xdr:spPr>
          <a:xfrm>
            <a:off x="1972898" y="8935139"/>
            <a:ext cx="2609149" cy="21315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ko-KR" altLang="en-US" sz="1400" b="1" i="0" u="none" strike="noStrike">
                <a:solidFill>
                  <a:schemeClr val="bg1"/>
                </a:solidFill>
                <a:latin typeface="+mn-ea"/>
                <a:ea typeface="+mn-ea"/>
              </a:rPr>
              <a:t>우리동네 근처 </a:t>
            </a:r>
            <a:r>
              <a:rPr lang="ko-KR" altLang="en-US" sz="1400" b="1" i="0" u="none" strike="noStrike">
                <a:solidFill>
                  <a:srgbClr val="FFFF99"/>
                </a:solidFill>
                <a:latin typeface="+mn-ea"/>
                <a:ea typeface="+mn-ea"/>
              </a:rPr>
              <a:t>휴대폰 성지 </a:t>
            </a:r>
            <a:r>
              <a:rPr lang="en-US" altLang="ko-KR" sz="1400" b="1" i="0" u="none" strike="noStrike">
                <a:solidFill>
                  <a:schemeClr val="bg1"/>
                </a:solidFill>
                <a:latin typeface="+mn-ea"/>
                <a:ea typeface="+mn-ea"/>
              </a:rPr>
              <a:t>- </a:t>
            </a:r>
            <a:r>
              <a:rPr lang="ko-KR" altLang="ko-KR" sz="1200" b="1" i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　　　</a:t>
            </a:r>
            <a:r>
              <a:rPr lang="en-US" altLang="ko-KR" sz="1200" b="1" i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endParaRPr lang="ko-KR" altLang="en-US" sz="1400" b="1" i="0" u="none" strike="noStrike">
              <a:solidFill>
                <a:schemeClr val="bg1"/>
              </a:solidFill>
              <a:latin typeface="+mn-ea"/>
              <a:ea typeface="+mn-ea"/>
            </a:endParaRPr>
          </a:p>
        </xdr:txBody>
      </xdr:sp>
      <xdr:pic>
        <xdr:nvPicPr>
          <xdr:cNvPr id="17" name="그림 16">
            <a:extLst>
              <a:ext uri="{FF2B5EF4-FFF2-40B4-BE49-F238E27FC236}">
                <a16:creationId xmlns:a16="http://schemas.microsoft.com/office/drawing/2014/main" id="{00000000-0008-0000-0200-000011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350301" y="8928808"/>
            <a:ext cx="520669" cy="230976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2541</xdr:colOff>
      <xdr:row>41</xdr:row>
      <xdr:rowOff>1313</xdr:rowOff>
    </xdr:from>
    <xdr:to>
      <xdr:col>9</xdr:col>
      <xdr:colOff>0</xdr:colOff>
      <xdr:row>42</xdr:row>
      <xdr:rowOff>1653</xdr:rowOff>
    </xdr:to>
    <xdr:grpSp>
      <xdr:nvGrpSpPr>
        <xdr:cNvPr id="16" name="그룹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GrpSpPr/>
      </xdr:nvGrpSpPr>
      <xdr:grpSpPr>
        <a:xfrm>
          <a:off x="202566" y="8478563"/>
          <a:ext cx="6703059" cy="352765"/>
          <a:chOff x="199610" y="11549554"/>
          <a:chExt cx="6724080" cy="355065"/>
        </a:xfrm>
      </xdr:grpSpPr>
      <xdr:sp macro="" textlink="">
        <xdr:nvSpPr>
          <xdr:cNvPr id="10" name="사각형: 둥근 위쪽 모서리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/>
        </xdr:nvSpPr>
        <xdr:spPr>
          <a:xfrm flipV="1">
            <a:off x="199610" y="11549554"/>
            <a:ext cx="6724080" cy="355065"/>
          </a:xfrm>
          <a:prstGeom prst="round2SameRect">
            <a:avLst>
              <a:gd name="adj1" fmla="val 50000"/>
              <a:gd name="adj2" fmla="val 0"/>
            </a:avLst>
          </a:prstGeom>
          <a:solidFill>
            <a:srgbClr val="3617CE"/>
          </a:solidFill>
          <a:ln w="6350">
            <a:solidFill>
              <a:schemeClr val="accent1">
                <a:shade val="15000"/>
                <a:alpha val="99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ko-KR" altLang="en-US" sz="1800" b="1">
              <a:solidFill>
                <a:schemeClr val="bg1"/>
              </a:solidFill>
            </a:endParaRPr>
          </a:p>
        </xdr:txBody>
      </xdr:sp>
      <xdr:grpSp>
        <xdr:nvGrpSpPr>
          <xdr:cNvPr id="14" name="그룹 13">
            <a:extLst>
              <a:ext uri="{FF2B5EF4-FFF2-40B4-BE49-F238E27FC236}">
                <a16:creationId xmlns:a16="http://schemas.microsoft.com/office/drawing/2014/main" id="{00000000-0008-0000-0200-00000E000000}"/>
              </a:ext>
            </a:extLst>
          </xdr:cNvPr>
          <xdr:cNvGrpSpPr/>
        </xdr:nvGrpSpPr>
        <xdr:grpSpPr>
          <a:xfrm>
            <a:off x="1016523" y="11603928"/>
            <a:ext cx="4890030" cy="244459"/>
            <a:chOff x="1016523" y="11654295"/>
            <a:chExt cx="4890030" cy="259896"/>
          </a:xfrm>
        </xdr:grpSpPr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00000000-0008-0000-0200-00000B000000}"/>
                </a:ext>
              </a:extLst>
            </xdr:cNvPr>
            <xdr:cNvSpPr txBox="1"/>
          </xdr:nvSpPr>
          <xdr:spPr>
            <a:xfrm>
              <a:off x="1016523" y="11657943"/>
              <a:ext cx="4871873" cy="254374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l"/>
              <a:r>
                <a:rPr lang="ko-KR" altLang="en-US" sz="1400" b="1" i="0" u="none" strike="noStrike">
                  <a:solidFill>
                    <a:schemeClr val="bg1"/>
                  </a:solidFill>
                  <a:latin typeface="+mn-ea"/>
                  <a:ea typeface="+mn-ea"/>
                </a:rPr>
                <a:t>전국 휴대폰 </a:t>
              </a:r>
              <a:r>
                <a:rPr lang="ko-KR" altLang="en-US" sz="1400" b="1" i="0" u="none" strike="noStrike">
                  <a:solidFill>
                    <a:srgbClr val="FFFF99"/>
                  </a:solidFill>
                  <a:latin typeface="+mn-ea"/>
                  <a:ea typeface="+mn-ea"/>
                </a:rPr>
                <a:t>우리동네 발품없이 시세표로 편리</a:t>
              </a:r>
              <a:r>
                <a:rPr lang="ko-KR" altLang="en-US" sz="1400" b="1" i="0" u="none" strike="noStrike">
                  <a:solidFill>
                    <a:schemeClr val="bg1"/>
                  </a:solidFill>
                  <a:latin typeface="+mn-ea"/>
                  <a:ea typeface="+mn-ea"/>
                </a:rPr>
                <a:t>하게 </a:t>
              </a:r>
              <a:r>
                <a:rPr lang="en-US" altLang="ko-KR" sz="1400" b="1" i="0" u="none" strike="noStrike">
                  <a:solidFill>
                    <a:schemeClr val="bg1"/>
                  </a:solidFill>
                  <a:latin typeface="+mn-ea"/>
                  <a:ea typeface="+mn-ea"/>
                </a:rPr>
                <a:t>- </a:t>
              </a:r>
              <a:endParaRPr lang="ko-KR" altLang="en-US" sz="1400" b="1" i="0" u="none" strike="noStrike">
                <a:solidFill>
                  <a:schemeClr val="bg1"/>
                </a:solidFill>
                <a:latin typeface="+mn-ea"/>
                <a:ea typeface="+mn-ea"/>
              </a:endParaRPr>
            </a:p>
          </xdr:txBody>
        </xdr:sp>
        <xdr:pic>
          <xdr:nvPicPr>
            <xdr:cNvPr id="18" name="그림 17">
              <a:extLst>
                <a:ext uri="{FF2B5EF4-FFF2-40B4-BE49-F238E27FC236}">
                  <a16:creationId xmlns:a16="http://schemas.microsoft.com/office/drawing/2014/main" id="{00000000-0008-0000-0200-00001200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5317832" y="11654295"/>
              <a:ext cx="588721" cy="259896"/>
            </a:xfrm>
            <a:prstGeom prst="rect">
              <a:avLst/>
            </a:prstGeom>
          </xdr:spPr>
        </xdr:pic>
      </xdr:grpSp>
    </xdr:grpSp>
    <xdr:clientData/>
  </xdr:twoCellAnchor>
  <xdr:twoCellAnchor editAs="oneCell">
    <xdr:from>
      <xdr:col>4</xdr:col>
      <xdr:colOff>125774</xdr:colOff>
      <xdr:row>1</xdr:row>
      <xdr:rowOff>37431</xdr:rowOff>
    </xdr:from>
    <xdr:to>
      <xdr:col>5</xdr:col>
      <xdr:colOff>285593</xdr:colOff>
      <xdr:row>1</xdr:row>
      <xdr:rowOff>428242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38817" y="244496"/>
          <a:ext cx="880406" cy="390811"/>
        </a:xfrm>
        <a:prstGeom prst="rect">
          <a:avLst/>
        </a:prstGeom>
      </xdr:spPr>
    </xdr:pic>
    <xdr:clientData/>
  </xdr:twoCellAnchor>
  <xdr:twoCellAnchor>
    <xdr:from>
      <xdr:col>3</xdr:col>
      <xdr:colOff>520323</xdr:colOff>
      <xdr:row>1</xdr:row>
      <xdr:rowOff>125733</xdr:rowOff>
    </xdr:from>
    <xdr:to>
      <xdr:col>4</xdr:col>
      <xdr:colOff>60111</xdr:colOff>
      <xdr:row>1</xdr:row>
      <xdr:rowOff>380410</xdr:rowOff>
    </xdr:to>
    <xdr:sp macro="" textlink="">
      <xdr:nvSpPr>
        <xdr:cNvPr id="22" name="곱하기 기호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3112780" y="332798"/>
          <a:ext cx="260374" cy="254677"/>
        </a:xfrm>
        <a:prstGeom prst="mathMultiply">
          <a:avLst>
            <a:gd name="adj1" fmla="val 4151"/>
          </a:avLst>
        </a:prstGeom>
        <a:solidFill>
          <a:schemeClr val="bg1"/>
        </a:solidFill>
        <a:ln w="635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>
    <xdr:from>
      <xdr:col>0</xdr:col>
      <xdr:colOff>200024</xdr:colOff>
      <xdr:row>56</xdr:row>
      <xdr:rowOff>781046</xdr:rowOff>
    </xdr:from>
    <xdr:to>
      <xdr:col>9</xdr:col>
      <xdr:colOff>0</xdr:colOff>
      <xdr:row>57</xdr:row>
      <xdr:rowOff>314321</xdr:rowOff>
    </xdr:to>
    <xdr:sp macro="" textlink="">
      <xdr:nvSpPr>
        <xdr:cNvPr id="23" name="사각형: 둥근 위쪽 모서리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 flipV="1">
          <a:off x="200024" y="14144621"/>
          <a:ext cx="6705601" cy="314325"/>
        </a:xfrm>
        <a:prstGeom prst="round2SameRect">
          <a:avLst>
            <a:gd name="adj1" fmla="val 50000"/>
            <a:gd name="adj2" fmla="val 0"/>
          </a:avLst>
        </a:prstGeom>
        <a:solidFill>
          <a:srgbClr val="3617CE"/>
        </a:solidFill>
        <a:ln w="6350">
          <a:solidFill>
            <a:srgbClr val="3617CE">
              <a:alpha val="9900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ko-KR" altLang="en-US" sz="1800" b="1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0</xdr:colOff>
      <xdr:row>50</xdr:row>
      <xdr:rowOff>0</xdr:rowOff>
    </xdr:from>
    <xdr:to>
      <xdr:col>9</xdr:col>
      <xdr:colOff>0</xdr:colOff>
      <xdr:row>51</xdr:row>
      <xdr:rowOff>2473</xdr:rowOff>
    </xdr:to>
    <xdr:sp macro="" textlink="">
      <xdr:nvSpPr>
        <xdr:cNvPr id="24" name="사각형: 둥근 위쪽 모서리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200025" y="14011275"/>
          <a:ext cx="6734175" cy="345373"/>
        </a:xfrm>
        <a:prstGeom prst="round2SameRect">
          <a:avLst>
            <a:gd name="adj1" fmla="val 50000"/>
            <a:gd name="adj2" fmla="val 0"/>
          </a:avLst>
        </a:prstGeom>
        <a:solidFill>
          <a:srgbClr val="3617CE"/>
        </a:solidFill>
        <a:ln w="6350">
          <a:solidFill>
            <a:schemeClr val="accent1">
              <a:shade val="15000"/>
              <a:alpha val="99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ko-KR" altLang="en-US" sz="1800" b="1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326579</xdr:colOff>
      <xdr:row>50</xdr:row>
      <xdr:rowOff>41654</xdr:rowOff>
    </xdr:from>
    <xdr:to>
      <xdr:col>5</xdr:col>
      <xdr:colOff>706857</xdr:colOff>
      <xdr:row>50</xdr:row>
      <xdr:rowOff>293215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 txBox="1"/>
      </xdr:nvSpPr>
      <xdr:spPr>
        <a:xfrm>
          <a:off x="2917379" y="14052929"/>
          <a:ext cx="1828078" cy="2515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altLang="ko-KR" sz="1700" b="1">
              <a:ln>
                <a:noFill/>
              </a:ln>
              <a:solidFill>
                <a:schemeClr val="bg1"/>
              </a:solidFill>
              <a:latin typeface="+mj-ea"/>
              <a:ea typeface="+mj-ea"/>
            </a:rPr>
            <a:t>9</a:t>
          </a:r>
          <a:r>
            <a:rPr lang="ko-KR" altLang="en-US" sz="1700" b="1">
              <a:ln>
                <a:noFill/>
              </a:ln>
              <a:solidFill>
                <a:schemeClr val="bg1"/>
              </a:solidFill>
              <a:latin typeface="+mj-ea"/>
              <a:ea typeface="+mj-ea"/>
            </a:rPr>
            <a:t>월 유선 정책</a:t>
          </a:r>
        </a:p>
      </xdr:txBody>
    </xdr:sp>
    <xdr:clientData/>
  </xdr:twoCellAnchor>
  <xdr:twoCellAnchor editAs="oneCell">
    <xdr:from>
      <xdr:col>3</xdr:col>
      <xdr:colOff>66261</xdr:colOff>
      <xdr:row>1</xdr:row>
      <xdr:rowOff>71438</xdr:rowOff>
    </xdr:from>
    <xdr:to>
      <xdr:col>3</xdr:col>
      <xdr:colOff>411881</xdr:colOff>
      <xdr:row>1</xdr:row>
      <xdr:rowOff>416718</xdr:rowOff>
    </xdr:to>
    <xdr:pic>
      <xdr:nvPicPr>
        <xdr:cNvPr id="34" name="그림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8718" y="278503"/>
          <a:ext cx="345620" cy="345280"/>
        </a:xfrm>
        <a:prstGeom prst="rect">
          <a:avLst/>
        </a:prstGeom>
      </xdr:spPr>
    </xdr:pic>
    <xdr:clientData/>
  </xdr:twoCellAnchor>
  <xdr:twoCellAnchor editAs="oneCell">
    <xdr:from>
      <xdr:col>3</xdr:col>
      <xdr:colOff>209344</xdr:colOff>
      <xdr:row>36</xdr:row>
      <xdr:rowOff>57844</xdr:rowOff>
    </xdr:from>
    <xdr:to>
      <xdr:col>3</xdr:col>
      <xdr:colOff>453059</xdr:colOff>
      <xdr:row>36</xdr:row>
      <xdr:rowOff>302417</xdr:rowOff>
    </xdr:to>
    <xdr:pic>
      <xdr:nvPicPr>
        <xdr:cNvPr id="35" name="그림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01801" y="9458605"/>
          <a:ext cx="243715" cy="244573"/>
        </a:xfrm>
        <a:prstGeom prst="rect">
          <a:avLst/>
        </a:prstGeom>
      </xdr:spPr>
    </xdr:pic>
    <xdr:clientData/>
  </xdr:twoCellAnchor>
  <xdr:twoCellAnchor editAs="oneCell">
    <xdr:from>
      <xdr:col>3</xdr:col>
      <xdr:colOff>90489</xdr:colOff>
      <xdr:row>50</xdr:row>
      <xdr:rowOff>57844</xdr:rowOff>
    </xdr:from>
    <xdr:to>
      <xdr:col>3</xdr:col>
      <xdr:colOff>333375</xdr:colOff>
      <xdr:row>50</xdr:row>
      <xdr:rowOff>302417</xdr:rowOff>
    </xdr:to>
    <xdr:pic>
      <xdr:nvPicPr>
        <xdr:cNvPr id="36" name="그림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81289" y="14069119"/>
          <a:ext cx="242886" cy="244573"/>
        </a:xfrm>
        <a:prstGeom prst="rect">
          <a:avLst/>
        </a:prstGeom>
      </xdr:spPr>
    </xdr:pic>
    <xdr:clientData/>
  </xdr:twoCellAnchor>
  <xdr:twoCellAnchor>
    <xdr:from>
      <xdr:col>2</xdr:col>
      <xdr:colOff>308741</xdr:colOff>
      <xdr:row>57</xdr:row>
      <xdr:rowOff>19707</xdr:rowOff>
    </xdr:from>
    <xdr:to>
      <xdr:col>6</xdr:col>
      <xdr:colOff>313805</xdr:colOff>
      <xdr:row>57</xdr:row>
      <xdr:rowOff>250683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GrpSpPr/>
      </xdr:nvGrpSpPr>
      <xdr:grpSpPr>
        <a:xfrm>
          <a:off x="2080391" y="14164332"/>
          <a:ext cx="2881614" cy="230976"/>
          <a:chOff x="1733462" y="14825190"/>
          <a:chExt cx="2986955" cy="230976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200-00001E000000}"/>
              </a:ext>
            </a:extLst>
          </xdr:cNvPr>
          <xdr:cNvSpPr txBox="1"/>
        </xdr:nvSpPr>
        <xdr:spPr>
          <a:xfrm>
            <a:off x="1733462" y="14830822"/>
            <a:ext cx="2986955" cy="21315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ko-KR" altLang="en-US" sz="1400" b="1" i="0" u="none" strike="noStrike">
                <a:solidFill>
                  <a:schemeClr val="bg1"/>
                </a:solidFill>
                <a:latin typeface="+mn-ea"/>
                <a:ea typeface="+mn-ea"/>
              </a:rPr>
              <a:t>우리동네 근처 </a:t>
            </a:r>
            <a:r>
              <a:rPr lang="ko-KR" altLang="en-US" sz="1400" b="1" i="0" u="none" strike="noStrike">
                <a:solidFill>
                  <a:srgbClr val="FFFF99"/>
                </a:solidFill>
                <a:latin typeface="+mn-ea"/>
                <a:ea typeface="+mn-ea"/>
              </a:rPr>
              <a:t>휴대폰 성지 </a:t>
            </a:r>
            <a:r>
              <a:rPr lang="en-US" altLang="ko-KR" sz="1400" b="1" i="0" u="none" strike="noStrike">
                <a:solidFill>
                  <a:schemeClr val="bg1"/>
                </a:solidFill>
                <a:latin typeface="+mn-ea"/>
                <a:ea typeface="+mn-ea"/>
              </a:rPr>
              <a:t>- </a:t>
            </a:r>
            <a:r>
              <a:rPr lang="ko-KR" altLang="ko-KR" sz="1200" b="1" i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　　　</a:t>
            </a:r>
            <a:r>
              <a:rPr lang="en-US" altLang="ko-KR" sz="1200" b="1" i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endParaRPr lang="ko-KR" altLang="en-US" sz="1400" b="1" i="0" u="none" strike="noStrike">
              <a:solidFill>
                <a:schemeClr val="bg1"/>
              </a:solidFill>
              <a:latin typeface="+mn-ea"/>
              <a:ea typeface="+mn-ea"/>
            </a:endParaRPr>
          </a:p>
        </xdr:txBody>
      </xdr:sp>
      <xdr:pic>
        <xdr:nvPicPr>
          <xdr:cNvPr id="31" name="그림 30">
            <a:extLst>
              <a:ext uri="{FF2B5EF4-FFF2-40B4-BE49-F238E27FC236}">
                <a16:creationId xmlns:a16="http://schemas.microsoft.com/office/drawing/2014/main" id="{00000000-0008-0000-0200-00001F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165061" y="14825190"/>
            <a:ext cx="524526" cy="230976"/>
          </a:xfrm>
          <a:prstGeom prst="rect">
            <a:avLst/>
          </a:prstGeom>
        </xdr:spPr>
      </xdr:pic>
    </xdr:grpSp>
    <xdr:clientData/>
  </xdr:twoCellAnchor>
  <xdr:twoCellAnchor>
    <xdr:from>
      <xdr:col>2</xdr:col>
      <xdr:colOff>213162</xdr:colOff>
      <xdr:row>48</xdr:row>
      <xdr:rowOff>34157</xdr:rowOff>
    </xdr:from>
    <xdr:to>
      <xdr:col>6</xdr:col>
      <xdr:colOff>218226</xdr:colOff>
      <xdr:row>48</xdr:row>
      <xdr:rowOff>265133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GrpSpPr/>
      </xdr:nvGrpSpPr>
      <xdr:grpSpPr>
        <a:xfrm>
          <a:off x="1984812" y="10483082"/>
          <a:ext cx="2881614" cy="230976"/>
          <a:chOff x="1733462" y="14825190"/>
          <a:chExt cx="2986955" cy="230976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200-000021000000}"/>
              </a:ext>
            </a:extLst>
          </xdr:cNvPr>
          <xdr:cNvSpPr txBox="1"/>
        </xdr:nvSpPr>
        <xdr:spPr>
          <a:xfrm>
            <a:off x="1733462" y="14830822"/>
            <a:ext cx="2986955" cy="21315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ko-KR" altLang="en-US" sz="1400" b="1" i="0" u="none" strike="noStrike">
                <a:solidFill>
                  <a:schemeClr val="bg1"/>
                </a:solidFill>
                <a:latin typeface="+mn-ea"/>
                <a:ea typeface="+mn-ea"/>
              </a:rPr>
              <a:t>우리동네 근처 </a:t>
            </a:r>
            <a:r>
              <a:rPr lang="ko-KR" altLang="en-US" sz="1400" b="1" i="0" u="none" strike="noStrike">
                <a:solidFill>
                  <a:srgbClr val="FFFF99"/>
                </a:solidFill>
                <a:latin typeface="+mn-ea"/>
                <a:ea typeface="+mn-ea"/>
              </a:rPr>
              <a:t>휴대폰 성지 </a:t>
            </a:r>
            <a:r>
              <a:rPr lang="en-US" altLang="ko-KR" sz="1400" b="1" i="0" u="none" strike="noStrike">
                <a:solidFill>
                  <a:schemeClr val="bg1"/>
                </a:solidFill>
                <a:latin typeface="+mn-ea"/>
                <a:ea typeface="+mn-ea"/>
              </a:rPr>
              <a:t>- </a:t>
            </a:r>
            <a:r>
              <a:rPr lang="ko-KR" altLang="ko-KR" sz="1200" b="1" i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　　　</a:t>
            </a:r>
            <a:r>
              <a:rPr lang="en-US" altLang="ko-KR" sz="1200" b="1" i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endParaRPr lang="ko-KR" altLang="en-US" sz="1400" b="1" i="0" u="none" strike="noStrike">
              <a:solidFill>
                <a:schemeClr val="bg1"/>
              </a:solidFill>
              <a:latin typeface="+mn-ea"/>
              <a:ea typeface="+mn-ea"/>
            </a:endParaRPr>
          </a:p>
        </xdr:txBody>
      </xdr:sp>
      <xdr:pic>
        <xdr:nvPicPr>
          <xdr:cNvPr id="37" name="그림 36">
            <a:extLst>
              <a:ext uri="{FF2B5EF4-FFF2-40B4-BE49-F238E27FC236}">
                <a16:creationId xmlns:a16="http://schemas.microsoft.com/office/drawing/2014/main" id="{00000000-0008-0000-0200-00002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165061" y="14825190"/>
            <a:ext cx="524526" cy="230976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0</xdr:colOff>
      <xdr:row>59</xdr:row>
      <xdr:rowOff>3361</xdr:rowOff>
    </xdr:from>
    <xdr:to>
      <xdr:col>9</xdr:col>
      <xdr:colOff>0</xdr:colOff>
      <xdr:row>71</xdr:row>
      <xdr:rowOff>63641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GrpSpPr/>
      </xdr:nvGrpSpPr>
      <xdr:grpSpPr>
        <a:xfrm>
          <a:off x="200025" y="14671861"/>
          <a:ext cx="6705600" cy="2574880"/>
          <a:chOff x="197827" y="19211192"/>
          <a:chExt cx="6579577" cy="2549770"/>
        </a:xfrm>
      </xdr:grpSpPr>
      <xdr:sp macro="" textlink="">
        <xdr:nvSpPr>
          <xdr:cNvPr id="25" name="사각형: 둥근 모서리 24">
            <a:extLst>
              <a:ext uri="{FF2B5EF4-FFF2-40B4-BE49-F238E27FC236}">
                <a16:creationId xmlns:a16="http://schemas.microsoft.com/office/drawing/2014/main" id="{00000000-0008-0000-0200-000019000000}"/>
              </a:ext>
            </a:extLst>
          </xdr:cNvPr>
          <xdr:cNvSpPr/>
        </xdr:nvSpPr>
        <xdr:spPr>
          <a:xfrm>
            <a:off x="197828" y="19211192"/>
            <a:ext cx="6579576" cy="2549770"/>
          </a:xfrm>
          <a:prstGeom prst="roundRect">
            <a:avLst>
              <a:gd name="adj" fmla="val 6793"/>
            </a:avLst>
          </a:prstGeom>
          <a:solidFill>
            <a:schemeClr val="tx1">
              <a:lumMod val="75000"/>
              <a:lumOff val="25000"/>
            </a:schemeClr>
          </a:solidFill>
          <a:ln w="6350">
            <a:solidFill>
              <a:schemeClr val="accent1">
                <a:shade val="1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chemeClr val="tx1">
                  <a:lumMod val="65000"/>
                  <a:lumOff val="35000"/>
                </a:schemeClr>
              </a:solidFill>
            </a:endParaRPr>
          </a:p>
        </xdr:txBody>
      </xdr:sp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00000000-0008-0000-0200-00001A000000}"/>
              </a:ext>
            </a:extLst>
          </xdr:cNvPr>
          <xdr:cNvSpPr txBox="1"/>
        </xdr:nvSpPr>
        <xdr:spPr>
          <a:xfrm>
            <a:off x="197827" y="19260079"/>
            <a:ext cx="6578601" cy="25050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ko-KR" altLang="en-US" sz="1100" b="1">
                <a:solidFill>
                  <a:schemeClr val="bg1"/>
                </a:solidFill>
              </a:rPr>
              <a:t>참고사항</a:t>
            </a:r>
          </a:p>
        </xdr:txBody>
      </xdr:sp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200-00001B000000}"/>
              </a:ext>
            </a:extLst>
          </xdr:cNvPr>
          <xdr:cNvSpPr txBox="1"/>
        </xdr:nvSpPr>
        <xdr:spPr>
          <a:xfrm>
            <a:off x="326270" y="19430230"/>
            <a:ext cx="6342373" cy="197788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en-US" altLang="ko-KR" sz="1100" b="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·  </a:t>
            </a:r>
            <a:r>
              <a:rPr lang="ko-KR" altLang="ko-KR" sz="1100" b="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본 단가표에 명시된 구매가는 공통지원금</a:t>
            </a:r>
            <a:r>
              <a:rPr lang="ko-KR" altLang="ko-KR" sz="1100" b="0" baseline="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을 기준으로 작성되었으며</a:t>
            </a:r>
            <a:r>
              <a:rPr lang="en-US" altLang="ko-KR" sz="1100" b="0" baseline="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, </a:t>
            </a:r>
            <a:br>
              <a:rPr lang="en-US" altLang="ko-KR" sz="1100" b="0" baseline="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</a:br>
            <a:r>
              <a:rPr lang="en-US" altLang="ko-KR" sz="1100" b="0" baseline="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   </a:t>
            </a:r>
            <a:r>
              <a:rPr lang="ko-KR" altLang="ko-KR" sz="1100" b="0" baseline="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선택약정으로</a:t>
            </a:r>
            <a:r>
              <a:rPr lang="en-US" altLang="ko-KR" sz="1100" b="0" baseline="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ko-KR" altLang="ko-KR" sz="1100" b="0" baseline="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개통하실 경우</a:t>
            </a:r>
            <a:r>
              <a:rPr lang="en-US" altLang="ko-KR" sz="1100" b="0" baseline="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, </a:t>
            </a:r>
            <a:r>
              <a:rPr lang="ko-KR" altLang="ko-KR" sz="1100" b="0" baseline="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구매가가 변동될 수 있습니다</a:t>
            </a:r>
            <a:r>
              <a:rPr lang="en-US" altLang="ko-KR" sz="1100" b="0" baseline="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.</a:t>
            </a:r>
            <a:endParaRPr lang="ko-KR" altLang="ko-KR">
              <a:solidFill>
                <a:schemeClr val="bg1"/>
              </a:solidFill>
              <a:effectLst/>
            </a:endParaRPr>
          </a:p>
          <a:p>
            <a:r>
              <a:rPr lang="en-US" altLang="ko-KR" sz="1100" b="0" baseline="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·  </a:t>
            </a:r>
            <a:r>
              <a:rPr lang="ko-KR" altLang="ko-KR" sz="1100" b="0" baseline="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할부는 최대 </a:t>
            </a:r>
            <a:r>
              <a:rPr lang="en-US" altLang="ko-KR" sz="1100" b="0" baseline="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24</a:t>
            </a:r>
            <a:r>
              <a:rPr lang="ko-KR" altLang="ko-KR" sz="1100" b="0" baseline="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개월까지 가능하며</a:t>
            </a:r>
            <a:r>
              <a:rPr lang="en-US" altLang="ko-KR" sz="1100" b="0" baseline="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, 24</a:t>
            </a:r>
            <a:r>
              <a:rPr lang="ko-KR" altLang="ko-KR" sz="1100" b="0" baseline="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개월을 초과한 할부는 개통 불가합니다</a:t>
            </a:r>
            <a:r>
              <a:rPr lang="en-US" altLang="ko-KR" sz="1100" b="0" baseline="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.</a:t>
            </a:r>
            <a:endParaRPr lang="ko-KR" altLang="ko-KR">
              <a:solidFill>
                <a:schemeClr val="bg1"/>
              </a:solidFill>
              <a:effectLst/>
            </a:endParaRPr>
          </a:p>
          <a:p>
            <a:r>
              <a:rPr lang="en-US" altLang="ko-KR" sz="1100" b="0" baseline="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·  </a:t>
            </a:r>
            <a:r>
              <a:rPr lang="ko-KR" altLang="ko-KR" sz="1100" b="0" baseline="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할부 개통 시</a:t>
            </a:r>
            <a:r>
              <a:rPr lang="en-US" altLang="ko-KR" sz="1100" b="0" baseline="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, </a:t>
            </a:r>
            <a:r>
              <a:rPr lang="ko-KR" altLang="ko-KR" sz="1100" b="0" baseline="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원리금 균등 상환 방식으로 연 </a:t>
            </a:r>
            <a:r>
              <a:rPr lang="en-US" altLang="ko-KR" sz="1100" b="0" baseline="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5.9%</a:t>
            </a:r>
            <a:r>
              <a:rPr lang="ko-KR" altLang="ko-KR" sz="1100" b="0" baseline="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의 이자율이 적용됩니다</a:t>
            </a:r>
            <a:r>
              <a:rPr lang="en-US" altLang="ko-KR" sz="1100" b="0" baseline="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.</a:t>
            </a:r>
            <a:endParaRPr lang="ko-KR" altLang="ko-KR">
              <a:solidFill>
                <a:schemeClr val="bg1"/>
              </a:solidFill>
              <a:effectLst/>
            </a:endParaRPr>
          </a:p>
          <a:p>
            <a:r>
              <a:rPr lang="en-US" altLang="ko-KR" sz="1100" b="0" baseline="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·  </a:t>
            </a:r>
            <a:r>
              <a:rPr lang="ko-KR" altLang="ko-KR" sz="1100" b="0" baseline="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위약금 및 잔여 할부금은 기존 통신사 고객센터를 통하여 직접 확인해주셔야 합니다</a:t>
            </a:r>
            <a:r>
              <a:rPr lang="en-US" altLang="ko-KR" sz="1100" b="0" baseline="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.</a:t>
            </a:r>
            <a:endParaRPr lang="ko-KR" altLang="ko-KR">
              <a:solidFill>
                <a:schemeClr val="bg1"/>
              </a:solidFill>
              <a:effectLst/>
            </a:endParaRPr>
          </a:p>
          <a:p>
            <a:r>
              <a:rPr lang="en-US" altLang="ko-KR" sz="1100" b="0" baseline="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·  </a:t>
            </a:r>
            <a:r>
              <a:rPr lang="ko-KR" altLang="ko-KR" sz="1100" b="0" baseline="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필수 유지기간 중 요금제 하향</a:t>
            </a:r>
            <a:r>
              <a:rPr lang="en-US" altLang="ko-KR" sz="1100" b="0" baseline="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ko-KR" altLang="ko-KR" sz="1100" b="0" baseline="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또는 해지 시</a:t>
            </a:r>
            <a:r>
              <a:rPr lang="en-US" altLang="ko-KR" sz="1100" b="0" baseline="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, </a:t>
            </a:r>
            <a:r>
              <a:rPr lang="ko-KR" altLang="ko-KR" sz="1100" b="0" baseline="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위약금이 청구될 수 있습니다</a:t>
            </a:r>
            <a:r>
              <a:rPr lang="en-US" altLang="ko-KR" sz="1100" b="0" baseline="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. </a:t>
            </a:r>
            <a:endParaRPr lang="ko-KR" altLang="ko-KR">
              <a:solidFill>
                <a:schemeClr val="bg1"/>
              </a:solidFill>
              <a:effectLst/>
            </a:endParaRPr>
          </a:p>
        </xdr:txBody>
      </xdr:sp>
      <xdr:grpSp>
        <xdr:nvGrpSpPr>
          <xdr:cNvPr id="38" name="그룹 37">
            <a:extLst>
              <a:ext uri="{FF2B5EF4-FFF2-40B4-BE49-F238E27FC236}">
                <a16:creationId xmlns:a16="http://schemas.microsoft.com/office/drawing/2014/main" id="{00000000-0008-0000-0200-000026000000}"/>
              </a:ext>
            </a:extLst>
          </xdr:cNvPr>
          <xdr:cNvGrpSpPr/>
        </xdr:nvGrpSpPr>
        <xdr:grpSpPr>
          <a:xfrm>
            <a:off x="1902217" y="21384252"/>
            <a:ext cx="2902790" cy="234961"/>
            <a:chOff x="1494301" y="14815860"/>
            <a:chExt cx="3351103" cy="230976"/>
          </a:xfrm>
        </xdr:grpSpPr>
        <xdr:sp macro="" textlink="">
          <xdr:nvSpPr>
            <xdr:cNvPr id="39" name="TextBox 38">
              <a:extLst>
                <a:ext uri="{FF2B5EF4-FFF2-40B4-BE49-F238E27FC236}">
                  <a16:creationId xmlns:a16="http://schemas.microsoft.com/office/drawing/2014/main" id="{00000000-0008-0000-0200-000027000000}"/>
                </a:ext>
              </a:extLst>
            </xdr:cNvPr>
            <xdr:cNvSpPr txBox="1"/>
          </xdr:nvSpPr>
          <xdr:spPr>
            <a:xfrm>
              <a:off x="1494301" y="14830758"/>
              <a:ext cx="2986956" cy="21315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l"/>
              <a:r>
                <a:rPr lang="ko-KR" altLang="en-US" sz="1400" b="1" i="0" u="none" strike="noStrike">
                  <a:solidFill>
                    <a:schemeClr val="bg1"/>
                  </a:solidFill>
                  <a:latin typeface="+mn-ea"/>
                  <a:ea typeface="+mn-ea"/>
                </a:rPr>
                <a:t>우리동네 근처 </a:t>
              </a:r>
              <a:r>
                <a:rPr lang="ko-KR" altLang="en-US" sz="1400" b="1" i="0" u="none" strike="noStrike">
                  <a:solidFill>
                    <a:srgbClr val="FFFF99"/>
                  </a:solidFill>
                  <a:latin typeface="+mn-ea"/>
                  <a:ea typeface="+mn-ea"/>
                </a:rPr>
                <a:t>휴대폰 성지 </a:t>
              </a:r>
              <a:r>
                <a:rPr lang="en-US" altLang="ko-KR" sz="1400" b="1" i="0" u="none" strike="noStrike">
                  <a:solidFill>
                    <a:schemeClr val="bg1"/>
                  </a:solidFill>
                  <a:latin typeface="+mn-ea"/>
                  <a:ea typeface="+mn-ea"/>
                </a:rPr>
                <a:t>- </a:t>
              </a:r>
              <a:r>
                <a:rPr lang="ko-KR" altLang="ko-KR" sz="12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　　　</a:t>
              </a:r>
              <a:r>
                <a:rPr lang="en-US" altLang="ko-KR" sz="12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endParaRPr lang="ko-KR" altLang="en-US" sz="1400" b="1" i="0" u="none" strike="noStrike">
                <a:solidFill>
                  <a:schemeClr val="bg1"/>
                </a:solidFill>
                <a:latin typeface="+mn-ea"/>
                <a:ea typeface="+mn-ea"/>
              </a:endParaRPr>
            </a:p>
          </xdr:txBody>
        </xdr:sp>
        <xdr:pic>
          <xdr:nvPicPr>
            <xdr:cNvPr id="40" name="그림 39">
              <a:extLst>
                <a:ext uri="{FF2B5EF4-FFF2-40B4-BE49-F238E27FC236}">
                  <a16:creationId xmlns:a16="http://schemas.microsoft.com/office/drawing/2014/main" id="{00000000-0008-0000-0200-00002800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4249856" y="14815860"/>
              <a:ext cx="595548" cy="230976"/>
            </a:xfrm>
            <a:prstGeom prst="rect">
              <a:avLst/>
            </a:prstGeom>
            <a:ln>
              <a:noFill/>
            </a:ln>
          </xdr:spPr>
        </xdr:pic>
      </xdr:grp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541</xdr:colOff>
      <xdr:row>1</xdr:row>
      <xdr:rowOff>0</xdr:rowOff>
    </xdr:from>
    <xdr:to>
      <xdr:col>9</xdr:col>
      <xdr:colOff>0</xdr:colOff>
      <xdr:row>2</xdr:row>
      <xdr:rowOff>0</xdr:rowOff>
    </xdr:to>
    <xdr:sp macro="" textlink="">
      <xdr:nvSpPr>
        <xdr:cNvPr id="2" name="사각형: 둥근 위쪽 모서리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198368" y="212481"/>
          <a:ext cx="6579036" cy="483577"/>
        </a:xfrm>
        <a:prstGeom prst="round2SameRect">
          <a:avLst>
            <a:gd name="adj1" fmla="val 50000"/>
            <a:gd name="adj2" fmla="val 0"/>
          </a:avLst>
        </a:prstGeom>
        <a:solidFill>
          <a:schemeClr val="tx1">
            <a:lumMod val="75000"/>
            <a:lumOff val="25000"/>
          </a:schemeClr>
        </a:solidFill>
        <a:ln w="6350"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altLang="en-US" sz="1600" b="1"/>
        </a:p>
      </xdr:txBody>
    </xdr:sp>
    <xdr:clientData/>
  </xdr:twoCellAnchor>
  <xdr:twoCellAnchor editAs="oneCell">
    <xdr:from>
      <xdr:col>3</xdr:col>
      <xdr:colOff>86302</xdr:colOff>
      <xdr:row>1</xdr:row>
      <xdr:rowOff>106420</xdr:rowOff>
    </xdr:from>
    <xdr:to>
      <xdr:col>3</xdr:col>
      <xdr:colOff>435908</xdr:colOff>
      <xdr:row>1</xdr:row>
      <xdr:rowOff>397318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31321" y="318901"/>
          <a:ext cx="349606" cy="290898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42</xdr:row>
      <xdr:rowOff>0</xdr:rowOff>
    </xdr:from>
    <xdr:to>
      <xdr:col>9</xdr:col>
      <xdr:colOff>0</xdr:colOff>
      <xdr:row>44</xdr:row>
      <xdr:rowOff>0</xdr:rowOff>
    </xdr:to>
    <xdr:grpSp>
      <xdr:nvGrpSpPr>
        <xdr:cNvPr id="24" name="그룹 23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GrpSpPr/>
      </xdr:nvGrpSpPr>
      <xdr:grpSpPr>
        <a:xfrm>
          <a:off x="198783" y="9467022"/>
          <a:ext cx="6576391" cy="347869"/>
          <a:chOff x="229720" y="22189767"/>
          <a:chExt cx="7571255" cy="422583"/>
        </a:xfrm>
      </xdr:grpSpPr>
      <xdr:sp macro="" textlink="">
        <xdr:nvSpPr>
          <xdr:cNvPr id="25" name="사각형: 둥근 위쪽 모서리 24">
            <a:extLst>
              <a:ext uri="{FF2B5EF4-FFF2-40B4-BE49-F238E27FC236}">
                <a16:creationId xmlns:a16="http://schemas.microsoft.com/office/drawing/2014/main" id="{00000000-0008-0000-0100-000019000000}"/>
              </a:ext>
            </a:extLst>
          </xdr:cNvPr>
          <xdr:cNvSpPr/>
        </xdr:nvSpPr>
        <xdr:spPr>
          <a:xfrm>
            <a:off x="229720" y="22190765"/>
            <a:ext cx="7571255" cy="421585"/>
          </a:xfrm>
          <a:prstGeom prst="round2SameRect">
            <a:avLst>
              <a:gd name="adj1" fmla="val 50000"/>
              <a:gd name="adj2" fmla="val 0"/>
            </a:avLst>
          </a:prstGeom>
          <a:solidFill>
            <a:schemeClr val="tx1">
              <a:lumMod val="75000"/>
              <a:lumOff val="25000"/>
            </a:schemeClr>
          </a:solidFill>
          <a:ln w="6350">
            <a:solidFill>
              <a:schemeClr val="accent1">
                <a:shade val="15000"/>
                <a:alpha val="99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ko-KR" altLang="en-US" sz="1800" b="1">
              <a:solidFill>
                <a:schemeClr val="bg1"/>
              </a:solidFill>
            </a:endParaRPr>
          </a:p>
        </xdr:txBody>
      </xdr:sp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00000000-0008-0000-0100-00001A000000}"/>
              </a:ext>
            </a:extLst>
          </xdr:cNvPr>
          <xdr:cNvSpPr txBox="1"/>
        </xdr:nvSpPr>
        <xdr:spPr>
          <a:xfrm>
            <a:off x="229720" y="22189767"/>
            <a:ext cx="7571255" cy="41741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ko-KR" altLang="en-US" sz="1600" b="1">
                <a:ln>
                  <a:noFill/>
                </a:ln>
                <a:solidFill>
                  <a:schemeClr val="bg1"/>
                </a:solidFill>
              </a:rPr>
              <a:t>부가서비스 </a:t>
            </a:r>
            <a:r>
              <a:rPr lang="en-US" altLang="ko-KR" sz="1600" b="1">
                <a:ln>
                  <a:noFill/>
                </a:ln>
                <a:solidFill>
                  <a:schemeClr val="bg1"/>
                </a:solidFill>
              </a:rPr>
              <a:t>/ </a:t>
            </a:r>
            <a:r>
              <a:rPr lang="ko-KR" altLang="en-US" sz="1600" b="1">
                <a:ln>
                  <a:noFill/>
                </a:ln>
                <a:solidFill>
                  <a:schemeClr val="bg1"/>
                </a:solidFill>
              </a:rPr>
              <a:t>보험</a:t>
            </a:r>
            <a:r>
              <a:rPr lang="ko-KR" altLang="en-US" sz="1600" b="1" baseline="0">
                <a:ln>
                  <a:noFill/>
                </a:ln>
                <a:solidFill>
                  <a:schemeClr val="bg1"/>
                </a:solidFill>
              </a:rPr>
              <a:t> 안내</a:t>
            </a:r>
            <a:endParaRPr lang="ko-KR" altLang="en-US" sz="1600" b="1">
              <a:ln>
                <a:noFill/>
              </a:ln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1</xdr:col>
      <xdr:colOff>0</xdr:colOff>
      <xdr:row>35</xdr:row>
      <xdr:rowOff>2197</xdr:rowOff>
    </xdr:from>
    <xdr:to>
      <xdr:col>9</xdr:col>
      <xdr:colOff>1656</xdr:colOff>
      <xdr:row>36</xdr:row>
      <xdr:rowOff>0</xdr:rowOff>
    </xdr:to>
    <xdr:sp macro="" textlink="">
      <xdr:nvSpPr>
        <xdr:cNvPr id="19" name="사각형: 둥근 위쪽 모서리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/>
      </xdr:nvSpPr>
      <xdr:spPr>
        <a:xfrm>
          <a:off x="199793" y="9364575"/>
          <a:ext cx="6576229" cy="350925"/>
        </a:xfrm>
        <a:prstGeom prst="round2SameRect">
          <a:avLst>
            <a:gd name="adj1" fmla="val 50000"/>
            <a:gd name="adj2" fmla="val 0"/>
          </a:avLst>
        </a:prstGeom>
        <a:solidFill>
          <a:schemeClr val="tx1">
            <a:lumMod val="75000"/>
            <a:lumOff val="25000"/>
          </a:schemeClr>
        </a:solidFill>
        <a:ln w="6350">
          <a:solidFill>
            <a:schemeClr val="accent1">
              <a:shade val="15000"/>
              <a:alpha val="99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ko-KR" altLang="en-US" sz="1800" b="1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348465</xdr:colOff>
      <xdr:row>35</xdr:row>
      <xdr:rowOff>52058</xdr:rowOff>
    </xdr:from>
    <xdr:to>
      <xdr:col>5</xdr:col>
      <xdr:colOff>644469</xdr:colOff>
      <xdr:row>35</xdr:row>
      <xdr:rowOff>297260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 txBox="1"/>
      </xdr:nvSpPr>
      <xdr:spPr>
        <a:xfrm>
          <a:off x="2996880" y="9414436"/>
          <a:ext cx="1671321" cy="2452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ko-KR" altLang="en-US" sz="1600" b="1">
              <a:ln>
                <a:noFill/>
              </a:ln>
              <a:solidFill>
                <a:schemeClr val="bg1"/>
              </a:solidFill>
              <a:latin typeface="+mj-ea"/>
              <a:ea typeface="+mj-ea"/>
            </a:rPr>
            <a:t>요금제 안내</a:t>
          </a:r>
        </a:p>
      </xdr:txBody>
    </xdr:sp>
    <xdr:clientData/>
  </xdr:twoCellAnchor>
  <xdr:twoCellAnchor>
    <xdr:from>
      <xdr:col>3</xdr:col>
      <xdr:colOff>113051</xdr:colOff>
      <xdr:row>35</xdr:row>
      <xdr:rowOff>75351</xdr:rowOff>
    </xdr:from>
    <xdr:to>
      <xdr:col>3</xdr:col>
      <xdr:colOff>343830</xdr:colOff>
      <xdr:row>35</xdr:row>
      <xdr:rowOff>263379</xdr:rowOff>
    </xdr:to>
    <xdr:pic>
      <xdr:nvPicPr>
        <xdr:cNvPr id="32" name="그림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1466" y="9437729"/>
          <a:ext cx="230779" cy="188028"/>
        </a:xfrm>
        <a:prstGeom prst="rect">
          <a:avLst/>
        </a:prstGeom>
      </xdr:spPr>
    </xdr:pic>
    <xdr:clientData/>
  </xdr:twoCellAnchor>
  <xdr:twoCellAnchor>
    <xdr:from>
      <xdr:col>0</xdr:col>
      <xdr:colOff>198368</xdr:colOff>
      <xdr:row>33</xdr:row>
      <xdr:rowOff>0</xdr:rowOff>
    </xdr:from>
    <xdr:to>
      <xdr:col>9</xdr:col>
      <xdr:colOff>0</xdr:colOff>
      <xdr:row>33</xdr:row>
      <xdr:rowOff>314739</xdr:rowOff>
    </xdr:to>
    <xdr:grpSp>
      <xdr:nvGrpSpPr>
        <xdr:cNvPr id="9" name="그룹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pSpPr/>
      </xdr:nvGrpSpPr>
      <xdr:grpSpPr>
        <a:xfrm>
          <a:off x="198368" y="6336196"/>
          <a:ext cx="6576806" cy="314739"/>
          <a:chOff x="198368" y="8903804"/>
          <a:chExt cx="6576806" cy="314739"/>
        </a:xfrm>
      </xdr:grpSpPr>
      <xdr:sp macro="" textlink="">
        <xdr:nvSpPr>
          <xdr:cNvPr id="16" name="사각형: 둥근 위쪽 모서리 15">
            <a:extLst>
              <a:ext uri="{FF2B5EF4-FFF2-40B4-BE49-F238E27FC236}">
                <a16:creationId xmlns:a16="http://schemas.microsoft.com/office/drawing/2014/main" id="{00000000-0008-0000-0100-000010000000}"/>
              </a:ext>
            </a:extLst>
          </xdr:cNvPr>
          <xdr:cNvSpPr/>
        </xdr:nvSpPr>
        <xdr:spPr>
          <a:xfrm flipV="1">
            <a:off x="198368" y="8903804"/>
            <a:ext cx="6576806" cy="314739"/>
          </a:xfrm>
          <a:prstGeom prst="round2SameRect">
            <a:avLst>
              <a:gd name="adj1" fmla="val 50000"/>
              <a:gd name="adj2" fmla="val 0"/>
            </a:avLst>
          </a:prstGeom>
          <a:solidFill>
            <a:schemeClr val="tx1">
              <a:lumMod val="75000"/>
              <a:lumOff val="25000"/>
            </a:schemeClr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en-US" altLang="en-US" sz="1600" b="1"/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100-000011000000}"/>
              </a:ext>
            </a:extLst>
          </xdr:cNvPr>
          <xdr:cNvSpPr txBox="1"/>
        </xdr:nvSpPr>
        <xdr:spPr>
          <a:xfrm>
            <a:off x="1852372" y="8951133"/>
            <a:ext cx="2537747" cy="21315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ko-KR" altLang="en-US" sz="1400" b="1" i="0" u="none" strike="noStrike">
                <a:solidFill>
                  <a:schemeClr val="bg1"/>
                </a:solidFill>
                <a:latin typeface="+mn-ea"/>
                <a:ea typeface="+mn-ea"/>
              </a:rPr>
              <a:t>우리동네 근처 </a:t>
            </a:r>
            <a:r>
              <a:rPr lang="ko-KR" altLang="en-US" sz="1400" b="1" i="0" u="none" strike="noStrike">
                <a:solidFill>
                  <a:srgbClr val="FFFF99"/>
                </a:solidFill>
                <a:latin typeface="+mn-ea"/>
                <a:ea typeface="+mn-ea"/>
              </a:rPr>
              <a:t>휴대폰 성지 </a:t>
            </a:r>
            <a:r>
              <a:rPr lang="en-US" altLang="ko-KR" sz="1400" b="1" i="0" u="none" strike="noStrike">
                <a:solidFill>
                  <a:schemeClr val="bg1"/>
                </a:solidFill>
                <a:latin typeface="+mn-ea"/>
                <a:ea typeface="+mn-ea"/>
              </a:rPr>
              <a:t>- </a:t>
            </a:r>
            <a:r>
              <a:rPr lang="ko-KR" altLang="ko-KR" sz="1200" b="1" i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　　　</a:t>
            </a:r>
            <a:r>
              <a:rPr lang="en-US" altLang="ko-KR" sz="1200" b="1" i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endParaRPr lang="ko-KR" altLang="en-US" sz="1400" b="1" i="0" u="none" strike="noStrike">
              <a:solidFill>
                <a:schemeClr val="bg1"/>
              </a:solidFill>
              <a:latin typeface="+mn-ea"/>
              <a:ea typeface="+mn-ea"/>
            </a:endParaRPr>
          </a:p>
        </xdr:txBody>
      </xdr:sp>
      <xdr:pic>
        <xdr:nvPicPr>
          <xdr:cNvPr id="35" name="그림 34">
            <a:extLst>
              <a:ext uri="{FF2B5EF4-FFF2-40B4-BE49-F238E27FC236}">
                <a16:creationId xmlns:a16="http://schemas.microsoft.com/office/drawing/2014/main" id="{00000000-0008-0000-0100-00002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283183" y="8936519"/>
            <a:ext cx="523639" cy="230976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827</xdr:colOff>
      <xdr:row>40</xdr:row>
      <xdr:rowOff>0</xdr:rowOff>
    </xdr:from>
    <xdr:to>
      <xdr:col>8</xdr:col>
      <xdr:colOff>679933</xdr:colOff>
      <xdr:row>41</xdr:row>
      <xdr:rowOff>1654</xdr:rowOff>
    </xdr:to>
    <xdr:grpSp>
      <xdr:nvGrpSpPr>
        <xdr:cNvPr id="10" name="그룹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GrpSpPr/>
      </xdr:nvGrpSpPr>
      <xdr:grpSpPr>
        <a:xfrm>
          <a:off x="199610" y="8986630"/>
          <a:ext cx="6568040" cy="299828"/>
          <a:chOff x="199610" y="11554239"/>
          <a:chExt cx="6568040" cy="299828"/>
        </a:xfrm>
      </xdr:grpSpPr>
      <xdr:sp macro="" textlink="">
        <xdr:nvSpPr>
          <xdr:cNvPr id="28" name="사각형: 둥근 위쪽 모서리 27">
            <a:extLst>
              <a:ext uri="{FF2B5EF4-FFF2-40B4-BE49-F238E27FC236}">
                <a16:creationId xmlns:a16="http://schemas.microsoft.com/office/drawing/2014/main" id="{00000000-0008-0000-0100-00001C000000}"/>
              </a:ext>
            </a:extLst>
          </xdr:cNvPr>
          <xdr:cNvSpPr/>
        </xdr:nvSpPr>
        <xdr:spPr>
          <a:xfrm flipV="1">
            <a:off x="199610" y="11554239"/>
            <a:ext cx="6568040" cy="299828"/>
          </a:xfrm>
          <a:prstGeom prst="round2SameRect">
            <a:avLst>
              <a:gd name="adj1" fmla="val 50000"/>
              <a:gd name="adj2" fmla="val 0"/>
            </a:avLst>
          </a:prstGeom>
          <a:solidFill>
            <a:schemeClr val="tx1">
              <a:lumMod val="75000"/>
              <a:lumOff val="25000"/>
            </a:schemeClr>
          </a:solidFill>
          <a:ln w="6350">
            <a:solidFill>
              <a:schemeClr val="accent1">
                <a:shade val="15000"/>
                <a:alpha val="99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ko-KR" altLang="en-US" sz="1800" b="1">
              <a:solidFill>
                <a:schemeClr val="bg1"/>
              </a:solidFill>
            </a:endParaRPr>
          </a:p>
        </xdr:txBody>
      </xdr:sp>
      <xdr:grpSp>
        <xdr:nvGrpSpPr>
          <xdr:cNvPr id="3" name="그룹 2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GrpSpPr/>
        </xdr:nvGrpSpPr>
        <xdr:grpSpPr>
          <a:xfrm>
            <a:off x="865994" y="11577632"/>
            <a:ext cx="4862532" cy="230976"/>
            <a:chOff x="865994" y="11577632"/>
            <a:chExt cx="4862532" cy="230976"/>
          </a:xfrm>
        </xdr:grpSpPr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00000000-0008-0000-0100-00001E000000}"/>
                </a:ext>
              </a:extLst>
            </xdr:cNvPr>
            <xdr:cNvSpPr txBox="1"/>
          </xdr:nvSpPr>
          <xdr:spPr>
            <a:xfrm>
              <a:off x="865994" y="11590484"/>
              <a:ext cx="4401745" cy="20188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l"/>
              <a:r>
                <a:rPr lang="ko-KR" altLang="en-US" sz="1400" b="1" i="0" u="none" strike="noStrike">
                  <a:solidFill>
                    <a:schemeClr val="bg1"/>
                  </a:solidFill>
                  <a:latin typeface="+mn-ea"/>
                  <a:ea typeface="+mn-ea"/>
                </a:rPr>
                <a:t>전국 휴대폰 </a:t>
              </a:r>
              <a:r>
                <a:rPr lang="ko-KR" altLang="en-US" sz="1400" b="1" i="0" u="none" strike="noStrike">
                  <a:solidFill>
                    <a:srgbClr val="FFFF99"/>
                  </a:solidFill>
                  <a:latin typeface="+mn-ea"/>
                  <a:ea typeface="+mn-ea"/>
                </a:rPr>
                <a:t>우리동네 발품없이 시세표로 편리하게 </a:t>
              </a:r>
              <a:r>
                <a:rPr lang="en-US" altLang="ko-KR" sz="1400" b="1" i="0" u="none" strike="noStrike">
                  <a:solidFill>
                    <a:schemeClr val="bg1"/>
                  </a:solidFill>
                  <a:latin typeface="+mn-ea"/>
                  <a:ea typeface="+mn-ea"/>
                </a:rPr>
                <a:t>- </a:t>
              </a:r>
              <a:endParaRPr lang="ko-KR" altLang="en-US" sz="1400" b="1" i="0" u="none" strike="noStrike">
                <a:solidFill>
                  <a:schemeClr val="bg1"/>
                </a:solidFill>
                <a:latin typeface="+mn-ea"/>
                <a:ea typeface="+mn-ea"/>
              </a:endParaRPr>
            </a:p>
          </xdr:txBody>
        </xdr:sp>
        <xdr:pic>
          <xdr:nvPicPr>
            <xdr:cNvPr id="36" name="그림 35">
              <a:extLst>
                <a:ext uri="{FF2B5EF4-FFF2-40B4-BE49-F238E27FC236}">
                  <a16:creationId xmlns:a16="http://schemas.microsoft.com/office/drawing/2014/main" id="{00000000-0008-0000-0100-00002400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5204000" y="11577632"/>
              <a:ext cx="524526" cy="230976"/>
            </a:xfrm>
            <a:prstGeom prst="rect">
              <a:avLst/>
            </a:prstGeom>
          </xdr:spPr>
        </xdr:pic>
      </xdr:grpSp>
    </xdr:grpSp>
    <xdr:clientData/>
  </xdr:twoCellAnchor>
  <xdr:twoCellAnchor editAs="oneCell">
    <xdr:from>
      <xdr:col>4</xdr:col>
      <xdr:colOff>161201</xdr:colOff>
      <xdr:row>1</xdr:row>
      <xdr:rowOff>37431</xdr:rowOff>
    </xdr:from>
    <xdr:to>
      <xdr:col>5</xdr:col>
      <xdr:colOff>362051</xdr:colOff>
      <xdr:row>1</xdr:row>
      <xdr:rowOff>428242</xdr:rowOff>
    </xdr:to>
    <xdr:pic>
      <xdr:nvPicPr>
        <xdr:cNvPr id="43" name="그림 42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94951" y="249912"/>
          <a:ext cx="889581" cy="390811"/>
        </a:xfrm>
        <a:prstGeom prst="rect">
          <a:avLst/>
        </a:prstGeom>
      </xdr:spPr>
    </xdr:pic>
    <xdr:clientData/>
  </xdr:twoCellAnchor>
  <xdr:twoCellAnchor>
    <xdr:from>
      <xdr:col>3</xdr:col>
      <xdr:colOff>520581</xdr:colOff>
      <xdr:row>1</xdr:row>
      <xdr:rowOff>125733</xdr:rowOff>
    </xdr:from>
    <xdr:to>
      <xdr:col>4</xdr:col>
      <xdr:colOff>92224</xdr:colOff>
      <xdr:row>1</xdr:row>
      <xdr:rowOff>380410</xdr:rowOff>
    </xdr:to>
    <xdr:sp macro="" textlink="">
      <xdr:nvSpPr>
        <xdr:cNvPr id="44" name="곱하기 기호 43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SpPr/>
      </xdr:nvSpPr>
      <xdr:spPr>
        <a:xfrm>
          <a:off x="3165600" y="338214"/>
          <a:ext cx="260374" cy="254677"/>
        </a:xfrm>
        <a:prstGeom prst="mathMultiply">
          <a:avLst>
            <a:gd name="adj1" fmla="val 4151"/>
          </a:avLst>
        </a:prstGeom>
        <a:solidFill>
          <a:schemeClr val="bg1"/>
        </a:solidFill>
        <a:ln w="635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>
    <xdr:from>
      <xdr:col>1</xdr:col>
      <xdr:colOff>0</xdr:colOff>
      <xdr:row>52</xdr:row>
      <xdr:rowOff>0</xdr:rowOff>
    </xdr:from>
    <xdr:to>
      <xdr:col>8</xdr:col>
      <xdr:colOff>688730</xdr:colOff>
      <xdr:row>53</xdr:row>
      <xdr:rowOff>2473</xdr:rowOff>
    </xdr:to>
    <xdr:sp macro="" textlink="">
      <xdr:nvSpPr>
        <xdr:cNvPr id="47" name="사각형: 둥근 위쪽 모서리 46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SpPr/>
      </xdr:nvSpPr>
      <xdr:spPr>
        <a:xfrm>
          <a:off x="197827" y="12770827"/>
          <a:ext cx="6579576" cy="346838"/>
        </a:xfrm>
        <a:prstGeom prst="round2SameRect">
          <a:avLst>
            <a:gd name="adj1" fmla="val 50000"/>
            <a:gd name="adj2" fmla="val 0"/>
          </a:avLst>
        </a:prstGeom>
        <a:solidFill>
          <a:schemeClr val="tx1">
            <a:lumMod val="75000"/>
            <a:lumOff val="25000"/>
          </a:schemeClr>
        </a:solidFill>
        <a:ln w="6350">
          <a:solidFill>
            <a:schemeClr val="accent1">
              <a:shade val="15000"/>
              <a:alpha val="99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ko-KR" altLang="en-US" sz="1800" b="1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649132</xdr:colOff>
      <xdr:row>52</xdr:row>
      <xdr:rowOff>64734</xdr:rowOff>
    </xdr:from>
    <xdr:to>
      <xdr:col>3</xdr:col>
      <xdr:colOff>88280</xdr:colOff>
      <xdr:row>52</xdr:row>
      <xdr:rowOff>281631</xdr:rowOff>
    </xdr:to>
    <xdr:pic>
      <xdr:nvPicPr>
        <xdr:cNvPr id="53" name="그림 52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9791" y="15341905"/>
          <a:ext cx="256904" cy="216897"/>
        </a:xfrm>
        <a:prstGeom prst="rect">
          <a:avLst/>
        </a:prstGeom>
      </xdr:spPr>
    </xdr:pic>
    <xdr:clientData/>
  </xdr:twoCellAnchor>
  <xdr:twoCellAnchor>
    <xdr:from>
      <xdr:col>3</xdr:col>
      <xdr:colOff>121584</xdr:colOff>
      <xdr:row>52</xdr:row>
      <xdr:rowOff>41654</xdr:rowOff>
    </xdr:from>
    <xdr:to>
      <xdr:col>6</xdr:col>
      <xdr:colOff>8283</xdr:colOff>
      <xdr:row>52</xdr:row>
      <xdr:rowOff>293215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SpPr txBox="1"/>
      </xdr:nvSpPr>
      <xdr:spPr>
        <a:xfrm>
          <a:off x="2772019" y="15347915"/>
          <a:ext cx="1949068" cy="2515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altLang="ko-KR" sz="1700" b="1">
              <a:ln>
                <a:noFill/>
              </a:ln>
              <a:solidFill>
                <a:schemeClr val="bg1"/>
              </a:solidFill>
              <a:latin typeface="+mj-ea"/>
              <a:ea typeface="+mj-ea"/>
            </a:rPr>
            <a:t>9</a:t>
          </a:r>
          <a:r>
            <a:rPr lang="ko-KR" altLang="en-US" sz="1700" b="1">
              <a:ln>
                <a:noFill/>
              </a:ln>
              <a:solidFill>
                <a:schemeClr val="bg1"/>
              </a:solidFill>
              <a:latin typeface="+mj-ea"/>
              <a:ea typeface="+mj-ea"/>
            </a:rPr>
            <a:t>월 인터넷 </a:t>
          </a:r>
          <a:r>
            <a:rPr lang="en-US" altLang="ko-KR" sz="1700" b="1">
              <a:ln>
                <a:noFill/>
              </a:ln>
              <a:solidFill>
                <a:schemeClr val="bg1"/>
              </a:solidFill>
              <a:latin typeface="+mj-ea"/>
              <a:ea typeface="+mj-ea"/>
            </a:rPr>
            <a:t>/ TV</a:t>
          </a:r>
          <a:endParaRPr lang="ko-KR" altLang="en-US" sz="1700" b="1">
            <a:ln>
              <a:noFill/>
            </a:ln>
            <a:solidFill>
              <a:schemeClr val="bg1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</xdr:col>
      <xdr:colOff>0</xdr:colOff>
      <xdr:row>50</xdr:row>
      <xdr:rowOff>0</xdr:rowOff>
    </xdr:from>
    <xdr:to>
      <xdr:col>9</xdr:col>
      <xdr:colOff>154</xdr:colOff>
      <xdr:row>51</xdr:row>
      <xdr:rowOff>0</xdr:rowOff>
    </xdr:to>
    <xdr:grpSp>
      <xdr:nvGrpSpPr>
        <xdr:cNvPr id="11" name="그룹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GrpSpPr/>
      </xdr:nvGrpSpPr>
      <xdr:grpSpPr>
        <a:xfrm>
          <a:off x="198783" y="12216848"/>
          <a:ext cx="6576545" cy="314739"/>
          <a:chOff x="198783" y="14784457"/>
          <a:chExt cx="6576545" cy="314739"/>
        </a:xfrm>
      </xdr:grpSpPr>
      <xdr:sp macro="" textlink="">
        <xdr:nvSpPr>
          <xdr:cNvPr id="22" name="사각형: 둥근 위쪽 모서리 21">
            <a:extLst>
              <a:ext uri="{FF2B5EF4-FFF2-40B4-BE49-F238E27FC236}">
                <a16:creationId xmlns:a16="http://schemas.microsoft.com/office/drawing/2014/main" id="{00000000-0008-0000-0100-000016000000}"/>
              </a:ext>
            </a:extLst>
          </xdr:cNvPr>
          <xdr:cNvSpPr/>
        </xdr:nvSpPr>
        <xdr:spPr>
          <a:xfrm flipV="1">
            <a:off x="198783" y="14784457"/>
            <a:ext cx="6576545" cy="314739"/>
          </a:xfrm>
          <a:prstGeom prst="round2SameRect">
            <a:avLst>
              <a:gd name="adj1" fmla="val 50000"/>
              <a:gd name="adj2" fmla="val 0"/>
            </a:avLst>
          </a:prstGeom>
          <a:solidFill>
            <a:schemeClr val="tx1">
              <a:lumMod val="75000"/>
              <a:lumOff val="25000"/>
            </a:schemeClr>
          </a:solidFill>
          <a:ln w="6350">
            <a:solidFill>
              <a:schemeClr val="accent1">
                <a:shade val="15000"/>
                <a:alpha val="99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ko-KR" altLang="en-US" sz="1800" b="1">
              <a:solidFill>
                <a:schemeClr val="bg1"/>
              </a:solidFill>
            </a:endParaRPr>
          </a:p>
        </xdr:txBody>
      </xdr:sp>
      <xdr:grpSp>
        <xdr:nvGrpSpPr>
          <xdr:cNvPr id="5" name="그룹 4">
            <a:extLst>
              <a:ext uri="{FF2B5EF4-FFF2-40B4-BE49-F238E27FC236}">
                <a16:creationId xmlns:a16="http://schemas.microsoft.com/office/drawing/2014/main" id="{00000000-0008-0000-0100-000005000000}"/>
              </a:ext>
            </a:extLst>
          </xdr:cNvPr>
          <xdr:cNvGrpSpPr/>
        </xdr:nvGrpSpPr>
        <xdr:grpSpPr>
          <a:xfrm>
            <a:off x="1939234" y="14816132"/>
            <a:ext cx="2993943" cy="230976"/>
            <a:chOff x="1733462" y="14825190"/>
            <a:chExt cx="2986955" cy="230976"/>
          </a:xfrm>
        </xdr:grpSpPr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00000000-0008-0000-0100-000025000000}"/>
                </a:ext>
              </a:extLst>
            </xdr:cNvPr>
            <xdr:cNvSpPr txBox="1"/>
          </xdr:nvSpPr>
          <xdr:spPr>
            <a:xfrm>
              <a:off x="1733462" y="14830822"/>
              <a:ext cx="2986955" cy="21315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l"/>
              <a:r>
                <a:rPr lang="ko-KR" altLang="en-US" sz="1400" b="1" i="0" u="none" strike="noStrike">
                  <a:solidFill>
                    <a:schemeClr val="bg1"/>
                  </a:solidFill>
                  <a:latin typeface="+mn-ea"/>
                  <a:ea typeface="+mn-ea"/>
                </a:rPr>
                <a:t>우리동네 근처 </a:t>
              </a:r>
              <a:r>
                <a:rPr lang="ko-KR" altLang="en-US" sz="1400" b="1" i="0" u="none" strike="noStrike">
                  <a:solidFill>
                    <a:srgbClr val="FFFF99"/>
                  </a:solidFill>
                  <a:latin typeface="+mn-ea"/>
                  <a:ea typeface="+mn-ea"/>
                </a:rPr>
                <a:t>휴대폰 성지 </a:t>
              </a:r>
              <a:r>
                <a:rPr lang="en-US" altLang="ko-KR" sz="1400" b="1" i="0" u="none" strike="noStrike">
                  <a:solidFill>
                    <a:schemeClr val="bg1"/>
                  </a:solidFill>
                  <a:latin typeface="+mn-ea"/>
                  <a:ea typeface="+mn-ea"/>
                </a:rPr>
                <a:t>- </a:t>
              </a:r>
              <a:r>
                <a:rPr lang="ko-KR" altLang="ko-KR" sz="12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　　　</a:t>
              </a:r>
              <a:r>
                <a:rPr lang="en-US" altLang="ko-KR" sz="12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endParaRPr lang="ko-KR" altLang="en-US" sz="1400" b="1" i="0" u="none" strike="noStrike">
                <a:solidFill>
                  <a:schemeClr val="bg1"/>
                </a:solidFill>
                <a:latin typeface="+mn-ea"/>
                <a:ea typeface="+mn-ea"/>
              </a:endParaRPr>
            </a:p>
          </xdr:txBody>
        </xdr:sp>
        <xdr:pic>
          <xdr:nvPicPr>
            <xdr:cNvPr id="4" name="그림 3">
              <a:extLst>
                <a:ext uri="{FF2B5EF4-FFF2-40B4-BE49-F238E27FC236}">
                  <a16:creationId xmlns:a16="http://schemas.microsoft.com/office/drawing/2014/main" id="{00000000-0008-0000-0100-00000400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6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4165061" y="14825190"/>
              <a:ext cx="524526" cy="230976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</xdr:col>
      <xdr:colOff>0</xdr:colOff>
      <xdr:row>59</xdr:row>
      <xdr:rowOff>0</xdr:rowOff>
    </xdr:from>
    <xdr:to>
      <xdr:col>9</xdr:col>
      <xdr:colOff>154</xdr:colOff>
      <xdr:row>60</xdr:row>
      <xdr:rowOff>0</xdr:rowOff>
    </xdr:to>
    <xdr:grpSp>
      <xdr:nvGrpSpPr>
        <xdr:cNvPr id="13" name="그룹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GrpSpPr/>
      </xdr:nvGrpSpPr>
      <xdr:grpSpPr>
        <a:xfrm>
          <a:off x="198783" y="16076543"/>
          <a:ext cx="6576545" cy="314740"/>
          <a:chOff x="198783" y="18644152"/>
          <a:chExt cx="6576545" cy="314739"/>
        </a:xfrm>
      </xdr:grpSpPr>
      <xdr:sp macro="" textlink="">
        <xdr:nvSpPr>
          <xdr:cNvPr id="45" name="사각형: 둥근 위쪽 모서리 44">
            <a:extLst>
              <a:ext uri="{FF2B5EF4-FFF2-40B4-BE49-F238E27FC236}">
                <a16:creationId xmlns:a16="http://schemas.microsoft.com/office/drawing/2014/main" id="{00000000-0008-0000-0100-00002D000000}"/>
              </a:ext>
            </a:extLst>
          </xdr:cNvPr>
          <xdr:cNvSpPr/>
        </xdr:nvSpPr>
        <xdr:spPr>
          <a:xfrm flipV="1">
            <a:off x="198783" y="18644152"/>
            <a:ext cx="6576545" cy="314739"/>
          </a:xfrm>
          <a:prstGeom prst="round2SameRect">
            <a:avLst>
              <a:gd name="adj1" fmla="val 50000"/>
              <a:gd name="adj2" fmla="val 0"/>
            </a:avLst>
          </a:prstGeom>
          <a:solidFill>
            <a:schemeClr val="tx1">
              <a:lumMod val="75000"/>
              <a:lumOff val="25000"/>
            </a:schemeClr>
          </a:solidFill>
          <a:ln w="6350">
            <a:solidFill>
              <a:schemeClr val="tx1">
                <a:lumMod val="75000"/>
                <a:lumOff val="25000"/>
                <a:alpha val="99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ko-KR" altLang="en-US" sz="1800" b="1">
              <a:solidFill>
                <a:schemeClr val="bg1"/>
              </a:solidFill>
            </a:endParaRPr>
          </a:p>
        </xdr:txBody>
      </xdr:sp>
      <xdr:grpSp>
        <xdr:nvGrpSpPr>
          <xdr:cNvPr id="6" name="그룹 5">
            <a:extLst>
              <a:ext uri="{FF2B5EF4-FFF2-40B4-BE49-F238E27FC236}">
                <a16:creationId xmlns:a16="http://schemas.microsoft.com/office/drawing/2014/main" id="{00000000-0008-0000-0100-000006000000}"/>
              </a:ext>
            </a:extLst>
          </xdr:cNvPr>
          <xdr:cNvGrpSpPr/>
        </xdr:nvGrpSpPr>
        <xdr:grpSpPr>
          <a:xfrm>
            <a:off x="1831560" y="18675826"/>
            <a:ext cx="2993943" cy="230976"/>
            <a:chOff x="1733462" y="14825190"/>
            <a:chExt cx="2986955" cy="230976"/>
          </a:xfrm>
        </xdr:grpSpPr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00000000-0008-0000-0100-000007000000}"/>
                </a:ext>
              </a:extLst>
            </xdr:cNvPr>
            <xdr:cNvSpPr txBox="1"/>
          </xdr:nvSpPr>
          <xdr:spPr>
            <a:xfrm>
              <a:off x="1733462" y="14830822"/>
              <a:ext cx="2986955" cy="21315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l"/>
              <a:r>
                <a:rPr lang="ko-KR" altLang="en-US" sz="1400" b="1" i="0" u="none" strike="noStrike">
                  <a:solidFill>
                    <a:schemeClr val="bg1"/>
                  </a:solidFill>
                  <a:latin typeface="+mn-ea"/>
                  <a:ea typeface="+mn-ea"/>
                </a:rPr>
                <a:t>우리동네 근처 </a:t>
              </a:r>
              <a:r>
                <a:rPr lang="ko-KR" altLang="en-US" sz="1400" b="1" i="0" u="none" strike="noStrike">
                  <a:solidFill>
                    <a:srgbClr val="FFFF99"/>
                  </a:solidFill>
                  <a:latin typeface="+mn-ea"/>
                  <a:ea typeface="+mn-ea"/>
                </a:rPr>
                <a:t>휴대폰 성지 </a:t>
              </a:r>
              <a:r>
                <a:rPr lang="en-US" altLang="ko-KR" sz="1400" b="1" i="0" u="none" strike="noStrike">
                  <a:solidFill>
                    <a:schemeClr val="bg1"/>
                  </a:solidFill>
                  <a:latin typeface="+mn-ea"/>
                  <a:ea typeface="+mn-ea"/>
                </a:rPr>
                <a:t>- </a:t>
              </a:r>
              <a:r>
                <a:rPr lang="ko-KR" altLang="ko-KR" sz="12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　　　</a:t>
              </a:r>
              <a:r>
                <a:rPr lang="en-US" altLang="ko-KR" sz="12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endParaRPr lang="ko-KR" altLang="en-US" sz="1400" b="1" i="0" u="none" strike="noStrike">
                <a:solidFill>
                  <a:schemeClr val="bg1"/>
                </a:solidFill>
                <a:latin typeface="+mn-ea"/>
                <a:ea typeface="+mn-ea"/>
              </a:endParaRPr>
            </a:p>
          </xdr:txBody>
        </xdr:sp>
        <xdr:pic>
          <xdr:nvPicPr>
            <xdr:cNvPr id="8" name="그림 7">
              <a:extLst>
                <a:ext uri="{FF2B5EF4-FFF2-40B4-BE49-F238E27FC236}">
                  <a16:creationId xmlns:a16="http://schemas.microsoft.com/office/drawing/2014/main" id="{00000000-0008-0000-0100-00000800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6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4165061" y="14825190"/>
              <a:ext cx="524526" cy="230976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</xdr:col>
      <xdr:colOff>0</xdr:colOff>
      <xdr:row>61</xdr:row>
      <xdr:rowOff>0</xdr:rowOff>
    </xdr:from>
    <xdr:to>
      <xdr:col>9</xdr:col>
      <xdr:colOff>0</xdr:colOff>
      <xdr:row>73</xdr:row>
      <xdr:rowOff>0</xdr:rowOff>
    </xdr:to>
    <xdr:grpSp>
      <xdr:nvGrpSpPr>
        <xdr:cNvPr id="33" name="그룹 3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GrpSpPr/>
      </xdr:nvGrpSpPr>
      <xdr:grpSpPr>
        <a:xfrm>
          <a:off x="198783" y="16598348"/>
          <a:ext cx="6576391" cy="2484782"/>
          <a:chOff x="197827" y="19211192"/>
          <a:chExt cx="6579577" cy="2549770"/>
        </a:xfrm>
      </xdr:grpSpPr>
      <xdr:sp macro="" textlink="">
        <xdr:nvSpPr>
          <xdr:cNvPr id="14" name="사각형: 둥근 모서리 13">
            <a:extLst>
              <a:ext uri="{FF2B5EF4-FFF2-40B4-BE49-F238E27FC236}">
                <a16:creationId xmlns:a16="http://schemas.microsoft.com/office/drawing/2014/main" id="{00000000-0008-0000-0100-00000E000000}"/>
              </a:ext>
            </a:extLst>
          </xdr:cNvPr>
          <xdr:cNvSpPr/>
        </xdr:nvSpPr>
        <xdr:spPr>
          <a:xfrm>
            <a:off x="197828" y="19211192"/>
            <a:ext cx="6579576" cy="2549770"/>
          </a:xfrm>
          <a:prstGeom prst="roundRect">
            <a:avLst>
              <a:gd name="adj" fmla="val 6793"/>
            </a:avLst>
          </a:prstGeom>
          <a:solidFill>
            <a:schemeClr val="tx1">
              <a:lumMod val="75000"/>
              <a:lumOff val="25000"/>
            </a:schemeClr>
          </a:solidFill>
          <a:ln w="6350">
            <a:solidFill>
              <a:schemeClr val="accent1">
                <a:shade val="1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chemeClr val="tx1">
                  <a:lumMod val="65000"/>
                  <a:lumOff val="35000"/>
                </a:schemeClr>
              </a:solidFill>
            </a:endParaRPr>
          </a:p>
        </xdr:txBody>
      </xdr:sp>
      <xdr:sp macro="" textlink="">
        <xdr:nvSpPr>
          <xdr:cNvPr id="18" name="TextBox 17">
            <a:extLst>
              <a:ext uri="{FF2B5EF4-FFF2-40B4-BE49-F238E27FC236}">
                <a16:creationId xmlns:a16="http://schemas.microsoft.com/office/drawing/2014/main" id="{00000000-0008-0000-0100-000012000000}"/>
              </a:ext>
            </a:extLst>
          </xdr:cNvPr>
          <xdr:cNvSpPr txBox="1"/>
        </xdr:nvSpPr>
        <xdr:spPr>
          <a:xfrm>
            <a:off x="197827" y="19260079"/>
            <a:ext cx="6578601" cy="25050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ko-KR" altLang="en-US" sz="1100" b="1">
                <a:solidFill>
                  <a:schemeClr val="bg1"/>
                </a:solidFill>
              </a:rPr>
              <a:t>참고사항</a:t>
            </a:r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100-000015000000}"/>
              </a:ext>
            </a:extLst>
          </xdr:cNvPr>
          <xdr:cNvSpPr txBox="1"/>
        </xdr:nvSpPr>
        <xdr:spPr>
          <a:xfrm>
            <a:off x="326270" y="19430230"/>
            <a:ext cx="6342373" cy="197788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en-US" altLang="ko-KR" sz="1100" b="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·  </a:t>
            </a:r>
            <a:r>
              <a:rPr lang="ko-KR" altLang="ko-KR" sz="1100" b="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본 단가표에 명시된 구매가는 공통지원금</a:t>
            </a:r>
            <a:r>
              <a:rPr lang="ko-KR" altLang="ko-KR" sz="1100" b="0" baseline="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을 기준으로 작성되었으며</a:t>
            </a:r>
            <a:r>
              <a:rPr lang="en-US" altLang="ko-KR" sz="1100" b="0" baseline="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, </a:t>
            </a:r>
            <a:br>
              <a:rPr lang="en-US" altLang="ko-KR" sz="1100" b="0" baseline="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</a:br>
            <a:r>
              <a:rPr lang="en-US" altLang="ko-KR" sz="1100" b="0" baseline="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   </a:t>
            </a:r>
            <a:r>
              <a:rPr lang="ko-KR" altLang="ko-KR" sz="1100" b="0" baseline="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선택약정으로</a:t>
            </a:r>
            <a:r>
              <a:rPr lang="en-US" altLang="ko-KR" sz="1100" b="0" baseline="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ko-KR" altLang="ko-KR" sz="1100" b="0" baseline="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개통하실 경우</a:t>
            </a:r>
            <a:r>
              <a:rPr lang="en-US" altLang="ko-KR" sz="1100" b="0" baseline="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, </a:t>
            </a:r>
            <a:r>
              <a:rPr lang="ko-KR" altLang="ko-KR" sz="1100" b="0" baseline="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구매가가 변동될 수 있습니다</a:t>
            </a:r>
            <a:r>
              <a:rPr lang="en-US" altLang="ko-KR" sz="1100" b="0" baseline="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.</a:t>
            </a:r>
            <a:endParaRPr lang="ko-KR" altLang="ko-KR">
              <a:solidFill>
                <a:schemeClr val="bg1"/>
              </a:solidFill>
              <a:effectLst/>
            </a:endParaRPr>
          </a:p>
          <a:p>
            <a:r>
              <a:rPr lang="en-US" altLang="ko-KR" sz="1100" b="0" baseline="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·  </a:t>
            </a:r>
            <a:r>
              <a:rPr lang="ko-KR" altLang="ko-KR" sz="1100" b="0" baseline="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할부는 최대 </a:t>
            </a:r>
            <a:r>
              <a:rPr lang="en-US" altLang="ko-KR" sz="1100" b="0" baseline="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24</a:t>
            </a:r>
            <a:r>
              <a:rPr lang="ko-KR" altLang="ko-KR" sz="1100" b="0" baseline="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개월까지 가능하며</a:t>
            </a:r>
            <a:r>
              <a:rPr lang="en-US" altLang="ko-KR" sz="1100" b="0" baseline="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, 24</a:t>
            </a:r>
            <a:r>
              <a:rPr lang="ko-KR" altLang="ko-KR" sz="1100" b="0" baseline="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개월을 초과한 할부는 개통 불가합니다</a:t>
            </a:r>
            <a:r>
              <a:rPr lang="en-US" altLang="ko-KR" sz="1100" b="0" baseline="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.</a:t>
            </a:r>
            <a:endParaRPr lang="ko-KR" altLang="ko-KR">
              <a:solidFill>
                <a:schemeClr val="bg1"/>
              </a:solidFill>
              <a:effectLst/>
            </a:endParaRPr>
          </a:p>
          <a:p>
            <a:r>
              <a:rPr lang="en-US" altLang="ko-KR" sz="1100" b="0" baseline="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·  </a:t>
            </a:r>
            <a:r>
              <a:rPr lang="ko-KR" altLang="ko-KR" sz="1100" b="0" baseline="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할부 개통 시</a:t>
            </a:r>
            <a:r>
              <a:rPr lang="en-US" altLang="ko-KR" sz="1100" b="0" baseline="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, </a:t>
            </a:r>
            <a:r>
              <a:rPr lang="ko-KR" altLang="ko-KR" sz="1100" b="0" baseline="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원리금 균등 상환 방식으로 연 </a:t>
            </a:r>
            <a:r>
              <a:rPr lang="en-US" altLang="ko-KR" sz="1100" b="0" baseline="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5.9%</a:t>
            </a:r>
            <a:r>
              <a:rPr lang="ko-KR" altLang="ko-KR" sz="1100" b="0" baseline="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의 이자율이 적용됩니다</a:t>
            </a:r>
            <a:r>
              <a:rPr lang="en-US" altLang="ko-KR" sz="1100" b="0" baseline="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.</a:t>
            </a:r>
            <a:endParaRPr lang="ko-KR" altLang="ko-KR">
              <a:solidFill>
                <a:schemeClr val="bg1"/>
              </a:solidFill>
              <a:effectLst/>
            </a:endParaRPr>
          </a:p>
          <a:p>
            <a:r>
              <a:rPr lang="en-US" altLang="ko-KR" sz="1100" b="0" baseline="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·  </a:t>
            </a:r>
            <a:r>
              <a:rPr lang="ko-KR" altLang="ko-KR" sz="1100" b="0" baseline="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위약금 및 잔여 할부금은 기존 통신사 고객센터를 통하여 직접 확인해주셔야 합니다</a:t>
            </a:r>
            <a:r>
              <a:rPr lang="en-US" altLang="ko-KR" sz="1100" b="0" baseline="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.</a:t>
            </a:r>
            <a:endParaRPr lang="ko-KR" altLang="ko-KR">
              <a:solidFill>
                <a:schemeClr val="bg1"/>
              </a:solidFill>
              <a:effectLst/>
            </a:endParaRPr>
          </a:p>
          <a:p>
            <a:r>
              <a:rPr lang="en-US" altLang="ko-KR" sz="1100" b="0" baseline="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·  </a:t>
            </a:r>
            <a:r>
              <a:rPr lang="ko-KR" altLang="ko-KR" sz="1100" b="0" baseline="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필수 유지기간 중 요금제 하향</a:t>
            </a:r>
            <a:r>
              <a:rPr lang="en-US" altLang="ko-KR" sz="1100" b="0" baseline="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ko-KR" altLang="ko-KR" sz="1100" b="0" baseline="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또는 해지 시</a:t>
            </a:r>
            <a:r>
              <a:rPr lang="en-US" altLang="ko-KR" sz="1100" b="0" baseline="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, </a:t>
            </a:r>
            <a:r>
              <a:rPr lang="ko-KR" altLang="ko-KR" sz="1100" b="0" baseline="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위약금이 청구될 수 있습니다</a:t>
            </a:r>
            <a:r>
              <a:rPr lang="en-US" altLang="ko-KR" sz="1100" b="0" baseline="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. </a:t>
            </a:r>
            <a:endParaRPr lang="ko-KR" altLang="ko-KR">
              <a:solidFill>
                <a:schemeClr val="bg1"/>
              </a:solidFill>
              <a:effectLst/>
            </a:endParaRPr>
          </a:p>
        </xdr:txBody>
      </xdr:sp>
      <xdr:grpSp>
        <xdr:nvGrpSpPr>
          <xdr:cNvPr id="23" name="그룹 22">
            <a:extLst>
              <a:ext uri="{FF2B5EF4-FFF2-40B4-BE49-F238E27FC236}">
                <a16:creationId xmlns:a16="http://schemas.microsoft.com/office/drawing/2014/main" id="{00000000-0008-0000-0100-000017000000}"/>
              </a:ext>
            </a:extLst>
          </xdr:cNvPr>
          <xdr:cNvGrpSpPr/>
        </xdr:nvGrpSpPr>
        <xdr:grpSpPr>
          <a:xfrm>
            <a:off x="1902217" y="21393684"/>
            <a:ext cx="2958631" cy="234961"/>
            <a:chOff x="1494301" y="14825132"/>
            <a:chExt cx="3415566" cy="230976"/>
          </a:xfrm>
        </xdr:grpSpPr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00000000-0008-0000-0100-00001B000000}"/>
                </a:ext>
              </a:extLst>
            </xdr:cNvPr>
            <xdr:cNvSpPr txBox="1"/>
          </xdr:nvSpPr>
          <xdr:spPr>
            <a:xfrm>
              <a:off x="1494301" y="14830758"/>
              <a:ext cx="2986956" cy="21315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l"/>
              <a:r>
                <a:rPr lang="ko-KR" altLang="en-US" sz="1400" b="1" i="0" u="none" strike="noStrike">
                  <a:solidFill>
                    <a:schemeClr val="bg1"/>
                  </a:solidFill>
                  <a:latin typeface="+mn-ea"/>
                  <a:ea typeface="+mn-ea"/>
                </a:rPr>
                <a:t>우리동네 근처 </a:t>
              </a:r>
              <a:r>
                <a:rPr lang="ko-KR" altLang="en-US" sz="1400" b="1" i="0" u="none" strike="noStrike">
                  <a:solidFill>
                    <a:srgbClr val="FFFF99"/>
                  </a:solidFill>
                  <a:latin typeface="+mn-ea"/>
                  <a:ea typeface="+mn-ea"/>
                </a:rPr>
                <a:t>휴대폰 성지 </a:t>
              </a:r>
              <a:r>
                <a:rPr lang="en-US" altLang="ko-KR" sz="1400" b="1" i="0" u="none" strike="noStrike">
                  <a:solidFill>
                    <a:schemeClr val="bg1"/>
                  </a:solidFill>
                  <a:latin typeface="+mn-ea"/>
                  <a:ea typeface="+mn-ea"/>
                </a:rPr>
                <a:t>- </a:t>
              </a:r>
              <a:r>
                <a:rPr lang="ko-KR" altLang="ko-KR" sz="12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　　　</a:t>
              </a:r>
              <a:r>
                <a:rPr lang="en-US" altLang="ko-KR" sz="12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endParaRPr lang="ko-KR" altLang="en-US" sz="1400" b="1" i="0" u="none" strike="noStrike">
                <a:solidFill>
                  <a:schemeClr val="bg1"/>
                </a:solidFill>
                <a:latin typeface="+mn-ea"/>
                <a:ea typeface="+mn-ea"/>
              </a:endParaRPr>
            </a:p>
          </xdr:txBody>
        </xdr:sp>
        <xdr:pic>
          <xdr:nvPicPr>
            <xdr:cNvPr id="29" name="그림 28">
              <a:extLst>
                <a:ext uri="{FF2B5EF4-FFF2-40B4-BE49-F238E27FC236}">
                  <a16:creationId xmlns:a16="http://schemas.microsoft.com/office/drawing/2014/main" id="{00000000-0008-0000-0100-00001D00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7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4314320" y="14825132"/>
              <a:ext cx="595547" cy="230976"/>
            </a:xfrm>
            <a:prstGeom prst="rect">
              <a:avLst/>
            </a:prstGeom>
            <a:ln>
              <a:noFill/>
            </a:ln>
          </xdr:spPr>
        </xdr:pic>
      </xdr:grp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198368</xdr:colOff>
      <xdr:row>0</xdr:row>
      <xdr:rowOff>200025</xdr:rowOff>
    </xdr:from>
    <xdr:to>
      <xdr:col>7</xdr:col>
      <xdr:colOff>0</xdr:colOff>
      <xdr:row>1</xdr:row>
      <xdr:rowOff>476250</xdr:rowOff>
    </xdr:to>
    <xdr:sp macro="" textlink="">
      <xdr:nvSpPr>
        <xdr:cNvPr id="2" name="사각형: 둥근 위쪽 모서리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198368" y="200025"/>
          <a:ext cx="6402457" cy="485775"/>
        </a:xfrm>
        <a:prstGeom prst="round2SameRect">
          <a:avLst>
            <a:gd name="adj1" fmla="val 50000"/>
            <a:gd name="adj2" fmla="val 0"/>
          </a:avLst>
        </a:prstGeom>
        <a:solidFill>
          <a:srgbClr val="EC0B8E"/>
        </a:solidFill>
        <a:ln w="6350">
          <a:solidFill>
            <a:srgbClr val="EC0B8E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altLang="en-US" sz="1600" b="1"/>
        </a:p>
      </xdr:txBody>
    </xdr:sp>
    <xdr:clientData/>
  </xdr:twoCellAnchor>
  <xdr:twoCellAnchor>
    <xdr:from>
      <xdr:col>1</xdr:col>
      <xdr:colOff>0</xdr:colOff>
      <xdr:row>50</xdr:row>
      <xdr:rowOff>0</xdr:rowOff>
    </xdr:from>
    <xdr:to>
      <xdr:col>7</xdr:col>
      <xdr:colOff>0</xdr:colOff>
      <xdr:row>51</xdr:row>
      <xdr:rowOff>0</xdr:rowOff>
    </xdr:to>
    <xdr:sp macro="" textlink="">
      <xdr:nvSpPr>
        <xdr:cNvPr id="6" name="사각형: 둥근 위쪽 모서리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 flipV="1">
          <a:off x="200025" y="14801850"/>
          <a:ext cx="6888386" cy="314325"/>
        </a:xfrm>
        <a:prstGeom prst="round2SameRect">
          <a:avLst>
            <a:gd name="adj1" fmla="val 50000"/>
            <a:gd name="adj2" fmla="val 0"/>
          </a:avLst>
        </a:prstGeom>
        <a:solidFill>
          <a:srgbClr val="EC0B8E"/>
        </a:solidFill>
        <a:ln w="6350">
          <a:solidFill>
            <a:srgbClr val="EC0B8E">
              <a:alpha val="9900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ko-KR" altLang="en-US" sz="1800" b="1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0</xdr:colOff>
      <xdr:row>45</xdr:row>
      <xdr:rowOff>836</xdr:rowOff>
    </xdr:from>
    <xdr:to>
      <xdr:col>7</xdr:col>
      <xdr:colOff>0</xdr:colOff>
      <xdr:row>46</xdr:row>
      <xdr:rowOff>212271</xdr:rowOff>
    </xdr:to>
    <xdr:sp macro="" textlink="">
      <xdr:nvSpPr>
        <xdr:cNvPr id="8" name="사각형: 둥근 위쪽 모서리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/>
      </xdr:nvSpPr>
      <xdr:spPr>
        <a:xfrm>
          <a:off x="202506" y="12013222"/>
          <a:ext cx="6889537" cy="352949"/>
        </a:xfrm>
        <a:prstGeom prst="round2SameRect">
          <a:avLst>
            <a:gd name="adj1" fmla="val 50000"/>
            <a:gd name="adj2" fmla="val 0"/>
          </a:avLst>
        </a:prstGeom>
        <a:solidFill>
          <a:srgbClr val="EC0B8E"/>
        </a:solidFill>
        <a:ln w="6350">
          <a:solidFill>
            <a:srgbClr val="EC0B8E">
              <a:alpha val="9900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ko-KR" altLang="en-US" sz="1800" b="1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870618</xdr:colOff>
      <xdr:row>45</xdr:row>
      <xdr:rowOff>0</xdr:rowOff>
    </xdr:from>
    <xdr:to>
      <xdr:col>5</xdr:col>
      <xdr:colOff>944336</xdr:colOff>
      <xdr:row>46</xdr:row>
      <xdr:rowOff>207948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 txBox="1"/>
      </xdr:nvSpPr>
      <xdr:spPr>
        <a:xfrm>
          <a:off x="1070643" y="12049125"/>
          <a:ext cx="4550468" cy="35082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600" b="1">
              <a:ln>
                <a:noFill/>
              </a:ln>
              <a:solidFill>
                <a:schemeClr val="bg1"/>
              </a:solidFill>
            </a:rPr>
            <a:t>부가서비스 </a:t>
          </a:r>
          <a:r>
            <a:rPr lang="ko-KR" altLang="en-US" sz="1600" b="1" baseline="0">
              <a:ln>
                <a:noFill/>
              </a:ln>
              <a:solidFill>
                <a:schemeClr val="bg1"/>
              </a:solidFill>
            </a:rPr>
            <a:t> 안내</a:t>
          </a:r>
          <a:endParaRPr lang="ko-KR" altLang="en-US" sz="1600" b="1">
            <a:ln>
              <a:noFill/>
            </a:ln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0</xdr:colOff>
      <xdr:row>38</xdr:row>
      <xdr:rowOff>2197</xdr:rowOff>
    </xdr:from>
    <xdr:to>
      <xdr:col>7</xdr:col>
      <xdr:colOff>1656</xdr:colOff>
      <xdr:row>39</xdr:row>
      <xdr:rowOff>0</xdr:rowOff>
    </xdr:to>
    <xdr:grpSp>
      <xdr:nvGrpSpPr>
        <xdr:cNvPr id="12" name="그룹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GrpSpPr/>
      </xdr:nvGrpSpPr>
      <xdr:grpSpPr>
        <a:xfrm>
          <a:off x="197069" y="5802594"/>
          <a:ext cx="6393259" cy="352527"/>
          <a:chOff x="257561" y="9298712"/>
          <a:chExt cx="6899568" cy="336148"/>
        </a:xfrm>
        <a:solidFill>
          <a:srgbClr val="EC0B8E"/>
        </a:solidFill>
      </xdr:grpSpPr>
      <xdr:sp macro="" textlink="">
        <xdr:nvSpPr>
          <xdr:cNvPr id="13" name="사각형: 둥근 위쪽 모서리 12">
            <a:extLst>
              <a:ext uri="{FF2B5EF4-FFF2-40B4-BE49-F238E27FC236}">
                <a16:creationId xmlns:a16="http://schemas.microsoft.com/office/drawing/2014/main" id="{00000000-0008-0000-0300-00000D000000}"/>
              </a:ext>
            </a:extLst>
          </xdr:cNvPr>
          <xdr:cNvSpPr/>
        </xdr:nvSpPr>
        <xdr:spPr>
          <a:xfrm>
            <a:off x="257561" y="9298712"/>
            <a:ext cx="6899568" cy="336148"/>
          </a:xfrm>
          <a:prstGeom prst="round2SameRect">
            <a:avLst>
              <a:gd name="adj1" fmla="val 50000"/>
              <a:gd name="adj2" fmla="val 0"/>
            </a:avLst>
          </a:prstGeom>
          <a:grpFill/>
          <a:ln w="6350">
            <a:solidFill>
              <a:srgbClr val="EC0B8E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ko-KR" altLang="en-US" sz="1800" b="1">
              <a:solidFill>
                <a:schemeClr val="bg1"/>
              </a:solidFill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300-00000F000000}"/>
              </a:ext>
            </a:extLst>
          </xdr:cNvPr>
          <xdr:cNvSpPr txBox="1"/>
        </xdr:nvSpPr>
        <xdr:spPr>
          <a:xfrm>
            <a:off x="3192175" y="9346473"/>
            <a:ext cx="1753497" cy="234877"/>
          </a:xfrm>
          <a:prstGeom prst="rect">
            <a:avLst/>
          </a:prstGeom>
          <a:grpFill/>
          <a:ln w="9525" cmpd="sng">
            <a:solidFill>
              <a:srgbClr val="EC0B8E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ko-KR" altLang="en-US" sz="1600" b="1">
                <a:ln>
                  <a:noFill/>
                </a:ln>
                <a:solidFill>
                  <a:schemeClr val="bg1"/>
                </a:solidFill>
                <a:latin typeface="+mj-ea"/>
                <a:ea typeface="+mj-ea"/>
              </a:rPr>
              <a:t>요금제 안내</a:t>
            </a:r>
          </a:p>
        </xdr:txBody>
      </xdr:sp>
    </xdr:grpSp>
    <xdr:clientData/>
  </xdr:twoCellAnchor>
  <xdr:twoCellAnchor>
    <xdr:from>
      <xdr:col>3</xdr:col>
      <xdr:colOff>322754</xdr:colOff>
      <xdr:row>1</xdr:row>
      <xdr:rowOff>125733</xdr:rowOff>
    </xdr:from>
    <xdr:to>
      <xdr:col>3</xdr:col>
      <xdr:colOff>583128</xdr:colOff>
      <xdr:row>1</xdr:row>
      <xdr:rowOff>380410</xdr:rowOff>
    </xdr:to>
    <xdr:sp macro="" textlink="">
      <xdr:nvSpPr>
        <xdr:cNvPr id="22" name="곱하기 기호 21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SpPr/>
      </xdr:nvSpPr>
      <xdr:spPr>
        <a:xfrm>
          <a:off x="3294554" y="335283"/>
          <a:ext cx="260374" cy="254677"/>
        </a:xfrm>
        <a:prstGeom prst="mathMultiply">
          <a:avLst>
            <a:gd name="adj1" fmla="val 4151"/>
          </a:avLst>
        </a:prstGeom>
        <a:solidFill>
          <a:schemeClr val="bg1"/>
        </a:solidFill>
        <a:ln w="635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>
    <xdr:from>
      <xdr:col>1</xdr:col>
      <xdr:colOff>0</xdr:colOff>
      <xdr:row>52</xdr:row>
      <xdr:rowOff>0</xdr:rowOff>
    </xdr:from>
    <xdr:to>
      <xdr:col>7</xdr:col>
      <xdr:colOff>0</xdr:colOff>
      <xdr:row>53</xdr:row>
      <xdr:rowOff>2473</xdr:rowOff>
    </xdr:to>
    <xdr:sp macro="" textlink="">
      <xdr:nvSpPr>
        <xdr:cNvPr id="24" name="사각형: 둥근 위쪽 모서리 23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SpPr/>
      </xdr:nvSpPr>
      <xdr:spPr>
        <a:xfrm>
          <a:off x="201145" y="15325725"/>
          <a:ext cx="6888385" cy="345373"/>
        </a:xfrm>
        <a:prstGeom prst="round2SameRect">
          <a:avLst>
            <a:gd name="adj1" fmla="val 50000"/>
            <a:gd name="adj2" fmla="val 0"/>
          </a:avLst>
        </a:prstGeom>
        <a:solidFill>
          <a:srgbClr val="EC0B8E"/>
        </a:solidFill>
        <a:ln w="6350">
          <a:solidFill>
            <a:srgbClr val="EC0B8E">
              <a:alpha val="9900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ko-KR" altLang="en-US" sz="1800" b="1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127868</xdr:colOff>
      <xdr:row>52</xdr:row>
      <xdr:rowOff>41654</xdr:rowOff>
    </xdr:from>
    <xdr:to>
      <xdr:col>4</xdr:col>
      <xdr:colOff>709448</xdr:colOff>
      <xdr:row>52</xdr:row>
      <xdr:rowOff>293215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SpPr txBox="1"/>
      </xdr:nvSpPr>
      <xdr:spPr>
        <a:xfrm>
          <a:off x="2880265" y="14040120"/>
          <a:ext cx="1540649" cy="2515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altLang="ko-KR" sz="1700" b="1">
              <a:ln>
                <a:noFill/>
              </a:ln>
              <a:solidFill>
                <a:schemeClr val="bg1"/>
              </a:solidFill>
              <a:latin typeface="+mj-ea"/>
              <a:ea typeface="+mj-ea"/>
            </a:rPr>
            <a:t>9</a:t>
          </a:r>
          <a:r>
            <a:rPr lang="ko-KR" altLang="en-US" sz="1700" b="1">
              <a:ln>
                <a:noFill/>
              </a:ln>
              <a:solidFill>
                <a:schemeClr val="bg1"/>
              </a:solidFill>
              <a:latin typeface="+mj-ea"/>
              <a:ea typeface="+mj-ea"/>
            </a:rPr>
            <a:t>월 유선 정책</a:t>
          </a:r>
        </a:p>
      </xdr:txBody>
    </xdr:sp>
    <xdr:clientData/>
  </xdr:twoCellAnchor>
  <xdr:twoCellAnchor editAs="oneCell">
    <xdr:from>
      <xdr:col>2</xdr:col>
      <xdr:colOff>523876</xdr:colOff>
      <xdr:row>1</xdr:row>
      <xdr:rowOff>49661</xdr:rowOff>
    </xdr:from>
    <xdr:to>
      <xdr:col>3</xdr:col>
      <xdr:colOff>368012</xdr:colOff>
      <xdr:row>1</xdr:row>
      <xdr:rowOff>433820</xdr:rowOff>
    </xdr:to>
    <xdr:pic>
      <xdr:nvPicPr>
        <xdr:cNvPr id="30" name="그림 29"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3210" b="18624"/>
        <a:stretch>
          <a:fillRect/>
        </a:stretch>
      </xdr:blipFill>
      <xdr:spPr>
        <a:xfrm>
          <a:off x="2675660" y="257479"/>
          <a:ext cx="662420" cy="384159"/>
        </a:xfrm>
        <a:prstGeom prst="rect">
          <a:avLst/>
        </a:prstGeom>
      </xdr:spPr>
    </xdr:pic>
    <xdr:clientData/>
  </xdr:twoCellAnchor>
  <xdr:twoCellAnchor editAs="oneCell">
    <xdr:from>
      <xdr:col>2</xdr:col>
      <xdr:colOff>589047</xdr:colOff>
      <xdr:row>38</xdr:row>
      <xdr:rowOff>38249</xdr:rowOff>
    </xdr:from>
    <xdr:to>
      <xdr:col>3</xdr:col>
      <xdr:colOff>230605</xdr:colOff>
      <xdr:row>38</xdr:row>
      <xdr:rowOff>305543</xdr:rowOff>
    </xdr:to>
    <xdr:pic>
      <xdr:nvPicPr>
        <xdr:cNvPr id="31" name="그림 30"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3210" b="18624"/>
        <a:stretch>
          <a:fillRect/>
        </a:stretch>
      </xdr:blipFill>
      <xdr:spPr>
        <a:xfrm>
          <a:off x="2744705" y="9402828"/>
          <a:ext cx="458703" cy="267294"/>
        </a:xfrm>
        <a:prstGeom prst="rect">
          <a:avLst/>
        </a:prstGeom>
      </xdr:spPr>
    </xdr:pic>
    <xdr:clientData/>
  </xdr:twoCellAnchor>
  <xdr:twoCellAnchor editAs="oneCell">
    <xdr:from>
      <xdr:col>2</xdr:col>
      <xdr:colOff>562018</xdr:colOff>
      <xdr:row>52</xdr:row>
      <xdr:rowOff>27365</xdr:rowOff>
    </xdr:from>
    <xdr:to>
      <xdr:col>3</xdr:col>
      <xdr:colOff>203576</xdr:colOff>
      <xdr:row>52</xdr:row>
      <xdr:rowOff>294659</xdr:rowOff>
    </xdr:to>
    <xdr:pic>
      <xdr:nvPicPr>
        <xdr:cNvPr id="32" name="그림 31">
          <a:extLst>
            <a:ext uri="{FF2B5EF4-FFF2-40B4-BE49-F238E27FC236}">
              <a16:creationId xmlns:a16="http://schemas.microsoft.com/office/drawing/2014/main" id="{00000000-0008-0000-0300-00002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3210" b="18624"/>
        <a:stretch>
          <a:fillRect/>
        </a:stretch>
      </xdr:blipFill>
      <xdr:spPr>
        <a:xfrm>
          <a:off x="2493294" y="14025831"/>
          <a:ext cx="462679" cy="267294"/>
        </a:xfrm>
        <a:prstGeom prst="rect">
          <a:avLst/>
        </a:prstGeom>
      </xdr:spPr>
    </xdr:pic>
    <xdr:clientData/>
  </xdr:twoCellAnchor>
  <xdr:twoCellAnchor editAs="oneCell">
    <xdr:from>
      <xdr:col>8</xdr:col>
      <xdr:colOff>104775</xdr:colOff>
      <xdr:row>61</xdr:row>
      <xdr:rowOff>142875</xdr:rowOff>
    </xdr:from>
    <xdr:to>
      <xdr:col>10</xdr:col>
      <xdr:colOff>431831</xdr:colOff>
      <xdr:row>68</xdr:row>
      <xdr:rowOff>36966</xdr:rowOff>
    </xdr:to>
    <xdr:pic>
      <xdr:nvPicPr>
        <xdr:cNvPr id="34" name="그림 33">
          <a:extLst>
            <a:ext uri="{FF2B5EF4-FFF2-40B4-BE49-F238E27FC236}">
              <a16:creationId xmlns:a16="http://schemas.microsoft.com/office/drawing/2014/main" id="{00000000-0008-0000-03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05625" y="13477875"/>
          <a:ext cx="3060731" cy="1360941"/>
        </a:xfrm>
        <a:prstGeom prst="rect">
          <a:avLst/>
        </a:prstGeom>
      </xdr:spPr>
    </xdr:pic>
    <xdr:clientData/>
  </xdr:twoCellAnchor>
  <xdr:twoCellAnchor editAs="oneCell">
    <xdr:from>
      <xdr:col>3</xdr:col>
      <xdr:colOff>663467</xdr:colOff>
      <xdr:row>1</xdr:row>
      <xdr:rowOff>32845</xdr:rowOff>
    </xdr:from>
    <xdr:to>
      <xdr:col>4</xdr:col>
      <xdr:colOff>665765</xdr:colOff>
      <xdr:row>1</xdr:row>
      <xdr:rowOff>454676</xdr:rowOff>
    </xdr:to>
    <xdr:pic>
      <xdr:nvPicPr>
        <xdr:cNvPr id="36" name="그림 35">
          <a:extLst>
            <a:ext uri="{FF2B5EF4-FFF2-40B4-BE49-F238E27FC236}">
              <a16:creationId xmlns:a16="http://schemas.microsoft.com/office/drawing/2014/main" id="{00000000-0008-0000-03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32639" y="243052"/>
          <a:ext cx="959068" cy="421831"/>
        </a:xfrm>
        <a:prstGeom prst="rect">
          <a:avLst/>
        </a:prstGeom>
      </xdr:spPr>
    </xdr:pic>
    <xdr:clientData/>
  </xdr:twoCellAnchor>
  <xdr:twoCellAnchor>
    <xdr:from>
      <xdr:col>1</xdr:col>
      <xdr:colOff>1299</xdr:colOff>
      <xdr:row>36</xdr:row>
      <xdr:rowOff>0</xdr:rowOff>
    </xdr:from>
    <xdr:to>
      <xdr:col>6</xdr:col>
      <xdr:colOff>959069</xdr:colOff>
      <xdr:row>37</xdr:row>
      <xdr:rowOff>0</xdr:rowOff>
    </xdr:to>
    <xdr:grpSp>
      <xdr:nvGrpSpPr>
        <xdr:cNvPr id="45" name="그룹 44">
          <a:extLst>
            <a:ext uri="{FF2B5EF4-FFF2-40B4-BE49-F238E27FC236}">
              <a16:creationId xmlns:a16="http://schemas.microsoft.com/office/drawing/2014/main" id="{00000000-0008-0000-0300-00002D000000}"/>
            </a:ext>
          </a:extLst>
        </xdr:cNvPr>
        <xdr:cNvGrpSpPr/>
      </xdr:nvGrpSpPr>
      <xdr:grpSpPr>
        <a:xfrm>
          <a:off x="198368" y="5301155"/>
          <a:ext cx="6390304" cy="315311"/>
          <a:chOff x="198368" y="8887810"/>
          <a:chExt cx="6390304" cy="315311"/>
        </a:xfrm>
      </xdr:grpSpPr>
      <xdr:sp macro="" textlink="">
        <xdr:nvSpPr>
          <xdr:cNvPr id="4" name="사각형: 둥근 위쪽 모서리 3">
            <a:extLst>
              <a:ext uri="{FF2B5EF4-FFF2-40B4-BE49-F238E27FC236}">
                <a16:creationId xmlns:a16="http://schemas.microsoft.com/office/drawing/2014/main" id="{00000000-0008-0000-0300-000004000000}"/>
              </a:ext>
            </a:extLst>
          </xdr:cNvPr>
          <xdr:cNvSpPr/>
        </xdr:nvSpPr>
        <xdr:spPr>
          <a:xfrm flipV="1">
            <a:off x="198368" y="8887810"/>
            <a:ext cx="6390304" cy="315311"/>
          </a:xfrm>
          <a:prstGeom prst="round2SameRect">
            <a:avLst>
              <a:gd name="adj1" fmla="val 50000"/>
              <a:gd name="adj2" fmla="val 0"/>
            </a:avLst>
          </a:prstGeom>
          <a:solidFill>
            <a:srgbClr val="EC0B8E"/>
          </a:solidFill>
          <a:ln w="6350">
            <a:solidFill>
              <a:srgbClr val="EC0B8E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en-US" altLang="en-US" sz="1600" b="1"/>
          </a:p>
        </xdr:txBody>
      </xdr:sp>
      <xdr:grpSp>
        <xdr:nvGrpSpPr>
          <xdr:cNvPr id="43" name="그룹 42">
            <a:extLst>
              <a:ext uri="{FF2B5EF4-FFF2-40B4-BE49-F238E27FC236}">
                <a16:creationId xmlns:a16="http://schemas.microsoft.com/office/drawing/2014/main" id="{00000000-0008-0000-0300-00002B000000}"/>
              </a:ext>
            </a:extLst>
          </xdr:cNvPr>
          <xdr:cNvGrpSpPr/>
        </xdr:nvGrpSpPr>
        <xdr:grpSpPr>
          <a:xfrm>
            <a:off x="1823261" y="8904407"/>
            <a:ext cx="2975949" cy="265014"/>
            <a:chOff x="1874602" y="8868153"/>
            <a:chExt cx="2979234" cy="250099"/>
          </a:xfrm>
        </xdr:grpSpPr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00000000-0008-0000-0300-000007000000}"/>
                </a:ext>
              </a:extLst>
            </xdr:cNvPr>
            <xdr:cNvSpPr txBox="1"/>
          </xdr:nvSpPr>
          <xdr:spPr>
            <a:xfrm>
              <a:off x="1874602" y="8885812"/>
              <a:ext cx="2603180" cy="21315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l"/>
              <a:r>
                <a:rPr lang="ko-KR" altLang="en-US" sz="1400" b="1" i="0" u="none" strike="noStrike">
                  <a:solidFill>
                    <a:schemeClr val="bg1"/>
                  </a:solidFill>
                  <a:latin typeface="+mn-ea"/>
                  <a:ea typeface="+mn-ea"/>
                </a:rPr>
                <a:t>우리동네 근처 </a:t>
              </a:r>
              <a:r>
                <a:rPr lang="ko-KR" altLang="en-US" sz="1400" b="1" i="0" u="none" strike="noStrike">
                  <a:solidFill>
                    <a:srgbClr val="FFFF99"/>
                  </a:solidFill>
                  <a:latin typeface="+mn-ea"/>
                  <a:ea typeface="+mn-ea"/>
                </a:rPr>
                <a:t>휴대폰 성지 </a:t>
              </a:r>
              <a:r>
                <a:rPr lang="en-US" altLang="ko-KR" sz="1400" b="1" i="0" u="none" strike="noStrike">
                  <a:solidFill>
                    <a:schemeClr val="bg1"/>
                  </a:solidFill>
                  <a:latin typeface="+mn-ea"/>
                  <a:ea typeface="+mn-ea"/>
                </a:rPr>
                <a:t>- </a:t>
              </a:r>
              <a:r>
                <a:rPr lang="ko-KR" altLang="ko-KR" sz="12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　　　</a:t>
              </a:r>
              <a:r>
                <a:rPr lang="en-US" altLang="ko-KR" sz="12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endParaRPr lang="ko-KR" altLang="en-US" sz="1400" b="1" i="0" u="none" strike="noStrike">
                <a:solidFill>
                  <a:schemeClr val="bg1"/>
                </a:solidFill>
                <a:latin typeface="+mn-ea"/>
                <a:ea typeface="+mn-ea"/>
              </a:endParaRPr>
            </a:p>
          </xdr:txBody>
        </xdr:sp>
        <xdr:pic>
          <xdr:nvPicPr>
            <xdr:cNvPr id="42" name="그림 41">
              <a:extLst>
                <a:ext uri="{FF2B5EF4-FFF2-40B4-BE49-F238E27FC236}">
                  <a16:creationId xmlns:a16="http://schemas.microsoft.com/office/drawing/2014/main" id="{00000000-0008-0000-0300-00002A00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4281783" y="8868153"/>
              <a:ext cx="572053" cy="250099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</xdr:col>
      <xdr:colOff>2541</xdr:colOff>
      <xdr:row>42</xdr:row>
      <xdr:rowOff>532086</xdr:rowOff>
    </xdr:from>
    <xdr:to>
      <xdr:col>6</xdr:col>
      <xdr:colOff>959069</xdr:colOff>
      <xdr:row>44</xdr:row>
      <xdr:rowOff>1654</xdr:rowOff>
    </xdr:to>
    <xdr:grpSp>
      <xdr:nvGrpSpPr>
        <xdr:cNvPr id="46" name="그룹 45">
          <a:extLst>
            <a:ext uri="{FF2B5EF4-FFF2-40B4-BE49-F238E27FC236}">
              <a16:creationId xmlns:a16="http://schemas.microsoft.com/office/drawing/2014/main" id="{00000000-0008-0000-0300-00002E000000}"/>
            </a:ext>
          </a:extLst>
        </xdr:cNvPr>
        <xdr:cNvGrpSpPr/>
      </xdr:nvGrpSpPr>
      <xdr:grpSpPr>
        <a:xfrm>
          <a:off x="199610" y="6897414"/>
          <a:ext cx="6389062" cy="297257"/>
          <a:chOff x="199610" y="11548241"/>
          <a:chExt cx="6389062" cy="297258"/>
        </a:xfrm>
      </xdr:grpSpPr>
      <xdr:sp macro="" textlink="">
        <xdr:nvSpPr>
          <xdr:cNvPr id="10" name="사각형: 둥근 위쪽 모서리 9">
            <a:extLst>
              <a:ext uri="{FF2B5EF4-FFF2-40B4-BE49-F238E27FC236}">
                <a16:creationId xmlns:a16="http://schemas.microsoft.com/office/drawing/2014/main" id="{00000000-0008-0000-0300-00000A000000}"/>
              </a:ext>
            </a:extLst>
          </xdr:cNvPr>
          <xdr:cNvSpPr/>
        </xdr:nvSpPr>
        <xdr:spPr>
          <a:xfrm flipV="1">
            <a:off x="199610" y="11548241"/>
            <a:ext cx="6389062" cy="297258"/>
          </a:xfrm>
          <a:prstGeom prst="round2SameRect">
            <a:avLst>
              <a:gd name="adj1" fmla="val 50000"/>
              <a:gd name="adj2" fmla="val 0"/>
            </a:avLst>
          </a:prstGeom>
          <a:solidFill>
            <a:srgbClr val="EC0B8E"/>
          </a:solidFill>
          <a:ln w="6350">
            <a:solidFill>
              <a:srgbClr val="EC0B8E">
                <a:alpha val="99000"/>
              </a:srgb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ko-KR" altLang="en-US" sz="1800" b="1">
              <a:solidFill>
                <a:schemeClr val="bg1"/>
              </a:solidFill>
            </a:endParaRPr>
          </a:p>
        </xdr:txBody>
      </xdr:sp>
      <xdr:sp macro="" textlink="">
        <xdr:nvSpPr>
          <xdr:cNvPr id="20" name="TextBox 19">
            <a:extLst>
              <a:ext uri="{FF2B5EF4-FFF2-40B4-BE49-F238E27FC236}">
                <a16:creationId xmlns:a16="http://schemas.microsoft.com/office/drawing/2014/main" id="{00000000-0008-0000-0300-000014000000}"/>
              </a:ext>
            </a:extLst>
          </xdr:cNvPr>
          <xdr:cNvSpPr txBox="1"/>
        </xdr:nvSpPr>
        <xdr:spPr>
          <a:xfrm>
            <a:off x="914046" y="11567683"/>
            <a:ext cx="4863872" cy="23771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ko-KR" altLang="en-US" sz="1400" b="1" i="0" u="none" strike="noStrike">
                <a:solidFill>
                  <a:schemeClr val="bg1"/>
                </a:solidFill>
                <a:latin typeface="+mn-ea"/>
                <a:ea typeface="+mn-ea"/>
              </a:rPr>
              <a:t>전국 휴대폰 </a:t>
            </a:r>
            <a:r>
              <a:rPr lang="ko-KR" altLang="en-US" sz="1400" b="1" i="0" u="none" strike="noStrike">
                <a:solidFill>
                  <a:srgbClr val="FFFF99"/>
                </a:solidFill>
                <a:latin typeface="+mn-ea"/>
                <a:ea typeface="+mn-ea"/>
              </a:rPr>
              <a:t>우리동네 발품없이 시세표로 편리</a:t>
            </a:r>
            <a:r>
              <a:rPr lang="ko-KR" altLang="en-US" sz="1400" b="1" i="0" u="none" strike="noStrike">
                <a:solidFill>
                  <a:schemeClr val="bg1"/>
                </a:solidFill>
                <a:latin typeface="+mn-ea"/>
                <a:ea typeface="+mn-ea"/>
              </a:rPr>
              <a:t>하게 </a:t>
            </a:r>
            <a:r>
              <a:rPr lang="en-US" altLang="ko-KR" sz="1400" b="1" i="0" u="none" strike="noStrike">
                <a:solidFill>
                  <a:schemeClr val="bg1"/>
                </a:solidFill>
                <a:latin typeface="+mn-ea"/>
                <a:ea typeface="+mn-ea"/>
              </a:rPr>
              <a:t>- </a:t>
            </a:r>
            <a:endParaRPr lang="ko-KR" altLang="en-US" sz="1400" b="1" i="0" u="none" strike="noStrike">
              <a:solidFill>
                <a:schemeClr val="bg1"/>
              </a:solidFill>
              <a:latin typeface="+mn-ea"/>
              <a:ea typeface="+mn-ea"/>
            </a:endParaRPr>
          </a:p>
        </xdr:txBody>
      </xdr:sp>
      <xdr:pic>
        <xdr:nvPicPr>
          <xdr:cNvPr id="44" name="그림 43">
            <a:extLst>
              <a:ext uri="{FF2B5EF4-FFF2-40B4-BE49-F238E27FC236}">
                <a16:creationId xmlns:a16="http://schemas.microsoft.com/office/drawing/2014/main" id="{00000000-0008-0000-0300-00002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236425" y="11554545"/>
            <a:ext cx="571422" cy="265014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1615703</xdr:colOff>
      <xdr:row>50</xdr:row>
      <xdr:rowOff>26276</xdr:rowOff>
    </xdr:from>
    <xdr:to>
      <xdr:col>5</xdr:col>
      <xdr:colOff>129264</xdr:colOff>
      <xdr:row>50</xdr:row>
      <xdr:rowOff>291290</xdr:rowOff>
    </xdr:to>
    <xdr:grpSp>
      <xdr:nvGrpSpPr>
        <xdr:cNvPr id="48" name="그룹 47">
          <a:extLst>
            <a:ext uri="{FF2B5EF4-FFF2-40B4-BE49-F238E27FC236}">
              <a16:creationId xmlns:a16="http://schemas.microsoft.com/office/drawing/2014/main" id="{00000000-0008-0000-0300-000030000000}"/>
            </a:ext>
          </a:extLst>
        </xdr:cNvPr>
        <xdr:cNvGrpSpPr/>
      </xdr:nvGrpSpPr>
      <xdr:grpSpPr>
        <a:xfrm>
          <a:off x="1812772" y="8848397"/>
          <a:ext cx="2987026" cy="265014"/>
          <a:chOff x="1878461" y="13499224"/>
          <a:chExt cx="2987026" cy="265014"/>
        </a:xfrm>
      </xdr:grpSpPr>
      <xdr:sp macro="" textlink="">
        <xdr:nvSpPr>
          <xdr:cNvPr id="35" name="TextBox 34">
            <a:extLst>
              <a:ext uri="{FF2B5EF4-FFF2-40B4-BE49-F238E27FC236}">
                <a16:creationId xmlns:a16="http://schemas.microsoft.com/office/drawing/2014/main" id="{00000000-0008-0000-0300-000023000000}"/>
              </a:ext>
            </a:extLst>
          </xdr:cNvPr>
          <xdr:cNvSpPr txBox="1"/>
        </xdr:nvSpPr>
        <xdr:spPr>
          <a:xfrm>
            <a:off x="1878461" y="13528888"/>
            <a:ext cx="2987026" cy="21315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ko-KR" altLang="en-US" sz="1400" b="1" i="0" u="none" strike="noStrike">
                <a:solidFill>
                  <a:schemeClr val="bg1"/>
                </a:solidFill>
                <a:latin typeface="+mn-ea"/>
                <a:ea typeface="+mn-ea"/>
              </a:rPr>
              <a:t>우리동네 근처 </a:t>
            </a:r>
            <a:r>
              <a:rPr lang="ko-KR" altLang="en-US" sz="1400" b="1" i="0" u="none" strike="noStrike">
                <a:solidFill>
                  <a:srgbClr val="FFFF99"/>
                </a:solidFill>
                <a:latin typeface="+mn-ea"/>
                <a:ea typeface="+mn-ea"/>
              </a:rPr>
              <a:t>휴대폰 성지 </a:t>
            </a:r>
            <a:r>
              <a:rPr lang="en-US" altLang="ko-KR" sz="1400" b="1" i="0" u="none" strike="noStrike">
                <a:solidFill>
                  <a:schemeClr val="bg1"/>
                </a:solidFill>
                <a:latin typeface="+mn-ea"/>
                <a:ea typeface="+mn-ea"/>
              </a:rPr>
              <a:t>- </a:t>
            </a:r>
            <a:r>
              <a:rPr lang="ko-KR" altLang="ko-KR" sz="1200" b="1" i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　　　</a:t>
            </a:r>
            <a:r>
              <a:rPr lang="en-US" altLang="ko-KR" sz="1200" b="1" i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endParaRPr lang="ko-KR" altLang="en-US" sz="1400" b="1" i="0" u="none" strike="noStrike">
              <a:solidFill>
                <a:schemeClr val="bg1"/>
              </a:solidFill>
              <a:latin typeface="+mn-ea"/>
              <a:ea typeface="+mn-ea"/>
            </a:endParaRPr>
          </a:p>
        </xdr:txBody>
      </xdr:sp>
      <xdr:pic>
        <xdr:nvPicPr>
          <xdr:cNvPr id="47" name="그림 46">
            <a:extLst>
              <a:ext uri="{FF2B5EF4-FFF2-40B4-BE49-F238E27FC236}">
                <a16:creationId xmlns:a16="http://schemas.microsoft.com/office/drawing/2014/main" id="{00000000-0008-0000-0300-00002F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282965" y="13499224"/>
            <a:ext cx="571422" cy="265014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0</xdr:colOff>
      <xdr:row>60</xdr:row>
      <xdr:rowOff>0</xdr:rowOff>
    </xdr:from>
    <xdr:to>
      <xdr:col>7</xdr:col>
      <xdr:colOff>154</xdr:colOff>
      <xdr:row>61</xdr:row>
      <xdr:rowOff>0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300-000035000000}"/>
            </a:ext>
          </a:extLst>
        </xdr:cNvPr>
        <xdr:cNvGrpSpPr/>
      </xdr:nvGrpSpPr>
      <xdr:grpSpPr>
        <a:xfrm>
          <a:off x="197069" y="13026259"/>
          <a:ext cx="6391757" cy="315310"/>
          <a:chOff x="197069" y="17171276"/>
          <a:chExt cx="6391757" cy="315310"/>
        </a:xfrm>
      </xdr:grpSpPr>
      <xdr:sp macro="" textlink="">
        <xdr:nvSpPr>
          <xdr:cNvPr id="23" name="사각형: 둥근 위쪽 모서리 22">
            <a:extLst>
              <a:ext uri="{FF2B5EF4-FFF2-40B4-BE49-F238E27FC236}">
                <a16:creationId xmlns:a16="http://schemas.microsoft.com/office/drawing/2014/main" id="{00000000-0008-0000-0300-000017000000}"/>
              </a:ext>
            </a:extLst>
          </xdr:cNvPr>
          <xdr:cNvSpPr/>
        </xdr:nvSpPr>
        <xdr:spPr>
          <a:xfrm flipV="1">
            <a:off x="197069" y="17171276"/>
            <a:ext cx="6391757" cy="315310"/>
          </a:xfrm>
          <a:prstGeom prst="round2SameRect">
            <a:avLst>
              <a:gd name="adj1" fmla="val 50000"/>
              <a:gd name="adj2" fmla="val 0"/>
            </a:avLst>
          </a:prstGeom>
          <a:solidFill>
            <a:srgbClr val="EC0B8E"/>
          </a:solidFill>
          <a:ln w="6350">
            <a:solidFill>
              <a:srgbClr val="EC0B8E">
                <a:alpha val="99000"/>
              </a:srgb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ko-KR" altLang="en-US" sz="1800" b="1">
              <a:solidFill>
                <a:schemeClr val="bg1"/>
              </a:solidFill>
            </a:endParaRPr>
          </a:p>
        </xdr:txBody>
      </xdr:sp>
      <xdr:grpSp>
        <xdr:nvGrpSpPr>
          <xdr:cNvPr id="50" name="그룹 49">
            <a:extLst>
              <a:ext uri="{FF2B5EF4-FFF2-40B4-BE49-F238E27FC236}">
                <a16:creationId xmlns:a16="http://schemas.microsoft.com/office/drawing/2014/main" id="{00000000-0008-0000-0300-000032000000}"/>
              </a:ext>
            </a:extLst>
          </xdr:cNvPr>
          <xdr:cNvGrpSpPr/>
        </xdr:nvGrpSpPr>
        <xdr:grpSpPr>
          <a:xfrm>
            <a:off x="1812772" y="17177845"/>
            <a:ext cx="2987026" cy="265014"/>
            <a:chOff x="1878461" y="13499224"/>
            <a:chExt cx="2987026" cy="265014"/>
          </a:xfrm>
        </xdr:grpSpPr>
        <xdr:sp macro="" textlink="">
          <xdr:nvSpPr>
            <xdr:cNvPr id="51" name="TextBox 50">
              <a:extLst>
                <a:ext uri="{FF2B5EF4-FFF2-40B4-BE49-F238E27FC236}">
                  <a16:creationId xmlns:a16="http://schemas.microsoft.com/office/drawing/2014/main" id="{00000000-0008-0000-0300-000033000000}"/>
                </a:ext>
              </a:extLst>
            </xdr:cNvPr>
            <xdr:cNvSpPr txBox="1"/>
          </xdr:nvSpPr>
          <xdr:spPr>
            <a:xfrm>
              <a:off x="1878461" y="13528888"/>
              <a:ext cx="2987026" cy="21315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l"/>
              <a:r>
                <a:rPr lang="ko-KR" altLang="en-US" sz="1400" b="1" i="0" u="none" strike="noStrike">
                  <a:solidFill>
                    <a:schemeClr val="bg1"/>
                  </a:solidFill>
                  <a:latin typeface="+mn-ea"/>
                  <a:ea typeface="+mn-ea"/>
                </a:rPr>
                <a:t>우리동네 근처 </a:t>
              </a:r>
              <a:r>
                <a:rPr lang="ko-KR" altLang="en-US" sz="1400" b="1" i="0" u="none" strike="noStrike">
                  <a:solidFill>
                    <a:srgbClr val="FFFF99"/>
                  </a:solidFill>
                  <a:latin typeface="+mn-ea"/>
                  <a:ea typeface="+mn-ea"/>
                </a:rPr>
                <a:t>휴대폰 성지 </a:t>
              </a:r>
              <a:r>
                <a:rPr lang="en-US" altLang="ko-KR" sz="1400" b="1" i="0" u="none" strike="noStrike">
                  <a:solidFill>
                    <a:schemeClr val="bg1"/>
                  </a:solidFill>
                  <a:latin typeface="+mn-ea"/>
                  <a:ea typeface="+mn-ea"/>
                </a:rPr>
                <a:t>- </a:t>
              </a:r>
              <a:r>
                <a:rPr lang="ko-KR" altLang="ko-KR" sz="12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　　　</a:t>
              </a:r>
              <a:r>
                <a:rPr lang="en-US" altLang="ko-KR" sz="12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endParaRPr lang="ko-KR" altLang="en-US" sz="1400" b="1" i="0" u="none" strike="noStrike">
                <a:solidFill>
                  <a:schemeClr val="bg1"/>
                </a:solidFill>
                <a:latin typeface="+mn-ea"/>
                <a:ea typeface="+mn-ea"/>
              </a:endParaRPr>
            </a:p>
          </xdr:txBody>
        </xdr:sp>
        <xdr:pic>
          <xdr:nvPicPr>
            <xdr:cNvPr id="52" name="그림 51">
              <a:extLst>
                <a:ext uri="{FF2B5EF4-FFF2-40B4-BE49-F238E27FC236}">
                  <a16:creationId xmlns:a16="http://schemas.microsoft.com/office/drawing/2014/main" id="{00000000-0008-0000-0300-00003400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4282965" y="13499224"/>
              <a:ext cx="571422" cy="265014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</xdr:col>
      <xdr:colOff>0</xdr:colOff>
      <xdr:row>62</xdr:row>
      <xdr:rowOff>0</xdr:rowOff>
    </xdr:from>
    <xdr:to>
      <xdr:col>7</xdr:col>
      <xdr:colOff>0</xdr:colOff>
      <xdr:row>73</xdr:row>
      <xdr:rowOff>108810</xdr:rowOff>
    </xdr:to>
    <xdr:grpSp>
      <xdr:nvGrpSpPr>
        <xdr:cNvPr id="3" name="그룹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pSpPr/>
      </xdr:nvGrpSpPr>
      <xdr:grpSpPr>
        <a:xfrm>
          <a:off x="197069" y="13551776"/>
          <a:ext cx="6391603" cy="2421086"/>
          <a:chOff x="197827" y="19211192"/>
          <a:chExt cx="6579577" cy="2549770"/>
        </a:xfrm>
      </xdr:grpSpPr>
      <xdr:sp macro="" textlink="">
        <xdr:nvSpPr>
          <xdr:cNvPr id="5" name="사각형: 둥근 모서리 4">
            <a:extLst>
              <a:ext uri="{FF2B5EF4-FFF2-40B4-BE49-F238E27FC236}">
                <a16:creationId xmlns:a16="http://schemas.microsoft.com/office/drawing/2014/main" id="{00000000-0008-0000-0300-000005000000}"/>
              </a:ext>
            </a:extLst>
          </xdr:cNvPr>
          <xdr:cNvSpPr/>
        </xdr:nvSpPr>
        <xdr:spPr>
          <a:xfrm>
            <a:off x="197828" y="19211192"/>
            <a:ext cx="6579576" cy="2549770"/>
          </a:xfrm>
          <a:prstGeom prst="roundRect">
            <a:avLst>
              <a:gd name="adj" fmla="val 6793"/>
            </a:avLst>
          </a:prstGeom>
          <a:solidFill>
            <a:schemeClr val="tx1">
              <a:lumMod val="75000"/>
              <a:lumOff val="25000"/>
            </a:schemeClr>
          </a:solidFill>
          <a:ln w="6350">
            <a:solidFill>
              <a:schemeClr val="accent1">
                <a:shade val="1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chemeClr val="tx1">
                  <a:lumMod val="65000"/>
                  <a:lumOff val="35000"/>
                </a:schemeClr>
              </a:solidFill>
            </a:endParaRPr>
          </a:p>
        </xdr:txBody>
      </xdr:sp>
      <xdr:sp macro="" textlink="">
        <xdr:nvSpPr>
          <xdr:cNvPr id="11" name="TextBox 10">
            <a:extLst>
              <a:ext uri="{FF2B5EF4-FFF2-40B4-BE49-F238E27FC236}">
                <a16:creationId xmlns:a16="http://schemas.microsoft.com/office/drawing/2014/main" id="{00000000-0008-0000-0300-00000B000000}"/>
              </a:ext>
            </a:extLst>
          </xdr:cNvPr>
          <xdr:cNvSpPr txBox="1"/>
        </xdr:nvSpPr>
        <xdr:spPr>
          <a:xfrm>
            <a:off x="197827" y="19260079"/>
            <a:ext cx="6578601" cy="25050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ko-KR" altLang="en-US" sz="1100" b="1">
                <a:solidFill>
                  <a:schemeClr val="bg1"/>
                </a:solidFill>
              </a:rPr>
              <a:t>참고사항</a:t>
            </a: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300-00000E000000}"/>
              </a:ext>
            </a:extLst>
          </xdr:cNvPr>
          <xdr:cNvSpPr txBox="1"/>
        </xdr:nvSpPr>
        <xdr:spPr>
          <a:xfrm>
            <a:off x="717364" y="19430230"/>
            <a:ext cx="5611433" cy="197788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lvl="0" algn="l"/>
            <a:r>
              <a:rPr lang="en-US" altLang="ko-KR" sz="1050" b="0">
                <a:solidFill>
                  <a:schemeClr val="bg1"/>
                </a:solidFill>
                <a:latin typeface="+mn-ea"/>
                <a:ea typeface="+mn-ea"/>
              </a:rPr>
              <a:t>·  </a:t>
            </a:r>
            <a:r>
              <a:rPr lang="ko-KR" altLang="en-US" sz="1050" b="0">
                <a:solidFill>
                  <a:schemeClr val="bg1"/>
                </a:solidFill>
                <a:latin typeface="+mn-ea"/>
                <a:ea typeface="+mn-ea"/>
              </a:rPr>
              <a:t>본 단가표에 명시된 구매가는 공통지원금</a:t>
            </a:r>
            <a:r>
              <a:rPr lang="ko-KR" altLang="en-US" sz="1050" b="0" baseline="0">
                <a:solidFill>
                  <a:schemeClr val="bg1"/>
                </a:solidFill>
                <a:latin typeface="+mn-ea"/>
                <a:ea typeface="+mn-ea"/>
              </a:rPr>
              <a:t>을 기준으로 작성되었으며</a:t>
            </a:r>
            <a:r>
              <a:rPr lang="en-US" altLang="ko-KR" sz="1050" b="0" baseline="0">
                <a:solidFill>
                  <a:schemeClr val="bg1"/>
                </a:solidFill>
                <a:latin typeface="+mn-ea"/>
                <a:ea typeface="+mn-ea"/>
              </a:rPr>
              <a:t>, </a:t>
            </a:r>
            <a:br>
              <a:rPr lang="en-US" altLang="ko-KR" sz="1050" b="0" baseline="0">
                <a:solidFill>
                  <a:schemeClr val="bg1"/>
                </a:solidFill>
                <a:latin typeface="+mn-ea"/>
                <a:ea typeface="+mn-ea"/>
              </a:rPr>
            </a:br>
            <a:r>
              <a:rPr lang="en-US" altLang="ko-KR" sz="1050" b="0" baseline="0">
                <a:solidFill>
                  <a:schemeClr val="bg1"/>
                </a:solidFill>
                <a:latin typeface="+mn-ea"/>
                <a:ea typeface="+mn-ea"/>
              </a:rPr>
              <a:t>  </a:t>
            </a:r>
            <a:r>
              <a:rPr lang="en-US" altLang="ko-KR" sz="400" b="0" baseline="0">
                <a:solidFill>
                  <a:schemeClr val="bg1"/>
                </a:solidFill>
                <a:latin typeface="+mn-ea"/>
                <a:ea typeface="+mn-ea"/>
              </a:rPr>
              <a:t> </a:t>
            </a:r>
            <a:r>
              <a:rPr lang="ko-KR" altLang="en-US" sz="1050" b="0" baseline="0">
                <a:solidFill>
                  <a:schemeClr val="bg1"/>
                </a:solidFill>
                <a:latin typeface="+mn-ea"/>
                <a:ea typeface="+mn-ea"/>
              </a:rPr>
              <a:t>선택약정으로</a:t>
            </a:r>
            <a:r>
              <a:rPr lang="en-US" altLang="ko-KR" sz="1050" b="0" baseline="0">
                <a:solidFill>
                  <a:schemeClr val="bg1"/>
                </a:solidFill>
                <a:latin typeface="+mn-ea"/>
                <a:ea typeface="+mn-ea"/>
              </a:rPr>
              <a:t> </a:t>
            </a:r>
            <a:r>
              <a:rPr lang="ko-KR" altLang="en-US" sz="1050" b="0" baseline="0">
                <a:solidFill>
                  <a:schemeClr val="bg1"/>
                </a:solidFill>
                <a:latin typeface="+mn-ea"/>
                <a:ea typeface="+mn-ea"/>
              </a:rPr>
              <a:t>개통하실 경우</a:t>
            </a:r>
            <a:r>
              <a:rPr lang="en-US" altLang="ko-KR" sz="1050" b="0" baseline="0">
                <a:solidFill>
                  <a:schemeClr val="bg1"/>
                </a:solidFill>
                <a:latin typeface="+mn-ea"/>
                <a:ea typeface="+mn-ea"/>
              </a:rPr>
              <a:t>, </a:t>
            </a:r>
            <a:r>
              <a:rPr lang="ko-KR" altLang="en-US" sz="1050" b="0" baseline="0">
                <a:solidFill>
                  <a:schemeClr val="bg1"/>
                </a:solidFill>
                <a:latin typeface="+mn-ea"/>
                <a:ea typeface="+mn-ea"/>
              </a:rPr>
              <a:t>구매가가 변동될 수 있습니다</a:t>
            </a:r>
            <a:r>
              <a:rPr lang="en-US" altLang="ko-KR" sz="1050" b="0" baseline="0">
                <a:solidFill>
                  <a:schemeClr val="bg1"/>
                </a:solidFill>
                <a:latin typeface="+mn-ea"/>
                <a:ea typeface="+mn-ea"/>
              </a:rPr>
              <a:t>.</a:t>
            </a:r>
          </a:p>
          <a:p>
            <a:pPr lvl="0" algn="l"/>
            <a:r>
              <a:rPr lang="en-US" altLang="ko-KR" sz="1050" b="0" baseline="0">
                <a:solidFill>
                  <a:schemeClr val="bg1"/>
                </a:solidFill>
                <a:latin typeface="+mn-ea"/>
                <a:ea typeface="+mn-ea"/>
              </a:rPr>
              <a:t>·  </a:t>
            </a:r>
            <a:r>
              <a:rPr lang="ko-KR" altLang="en-US" sz="1050" b="0" baseline="0">
                <a:solidFill>
                  <a:schemeClr val="bg1"/>
                </a:solidFill>
                <a:latin typeface="+mn-ea"/>
                <a:ea typeface="+mn-ea"/>
              </a:rPr>
              <a:t>할부는 최대 </a:t>
            </a:r>
            <a:r>
              <a:rPr lang="en-US" altLang="ko-KR" sz="1050" b="0" baseline="0">
                <a:solidFill>
                  <a:schemeClr val="bg1"/>
                </a:solidFill>
                <a:latin typeface="+mn-ea"/>
                <a:ea typeface="+mn-ea"/>
              </a:rPr>
              <a:t>24</a:t>
            </a:r>
            <a:r>
              <a:rPr lang="ko-KR" altLang="en-US" sz="1050" b="0" baseline="0">
                <a:solidFill>
                  <a:schemeClr val="bg1"/>
                </a:solidFill>
                <a:latin typeface="+mn-ea"/>
                <a:ea typeface="+mn-ea"/>
              </a:rPr>
              <a:t>개월까지 가능하며</a:t>
            </a:r>
            <a:r>
              <a:rPr lang="en-US" altLang="ko-KR" sz="1050" b="0" baseline="0">
                <a:solidFill>
                  <a:schemeClr val="bg1"/>
                </a:solidFill>
                <a:latin typeface="+mn-ea"/>
                <a:ea typeface="+mn-ea"/>
              </a:rPr>
              <a:t>, 24</a:t>
            </a:r>
            <a:r>
              <a:rPr lang="ko-KR" altLang="en-US" sz="1050" b="0" baseline="0">
                <a:solidFill>
                  <a:schemeClr val="bg1"/>
                </a:solidFill>
                <a:latin typeface="+mn-ea"/>
                <a:ea typeface="+mn-ea"/>
              </a:rPr>
              <a:t>개월을 초과한 할부는 개통 불가합니다</a:t>
            </a:r>
            <a:r>
              <a:rPr lang="en-US" altLang="ko-KR" sz="1050" b="0" baseline="0">
                <a:solidFill>
                  <a:schemeClr val="bg1"/>
                </a:solidFill>
                <a:latin typeface="+mn-ea"/>
                <a:ea typeface="+mn-ea"/>
              </a:rPr>
              <a:t>.</a:t>
            </a:r>
          </a:p>
          <a:p>
            <a:pPr lvl="0" algn="l"/>
            <a:r>
              <a:rPr lang="en-US" altLang="ko-KR" sz="1050" b="0" baseline="0">
                <a:solidFill>
                  <a:schemeClr val="bg1"/>
                </a:solidFill>
                <a:latin typeface="+mn-ea"/>
                <a:ea typeface="+mn-ea"/>
              </a:rPr>
              <a:t>·  </a:t>
            </a:r>
            <a:r>
              <a:rPr lang="ko-KR" altLang="en-US" sz="1050" b="0" baseline="0">
                <a:solidFill>
                  <a:schemeClr val="bg1"/>
                </a:solidFill>
                <a:latin typeface="+mn-ea"/>
                <a:ea typeface="+mn-ea"/>
              </a:rPr>
              <a:t>할부 개통 시</a:t>
            </a:r>
            <a:r>
              <a:rPr lang="en-US" altLang="ko-KR" sz="1050" b="0" baseline="0">
                <a:solidFill>
                  <a:schemeClr val="bg1"/>
                </a:solidFill>
                <a:latin typeface="+mn-ea"/>
                <a:ea typeface="+mn-ea"/>
              </a:rPr>
              <a:t>, </a:t>
            </a:r>
            <a:r>
              <a:rPr lang="ko-KR" altLang="en-US" sz="1050" b="0" baseline="0">
                <a:solidFill>
                  <a:schemeClr val="bg1"/>
                </a:solidFill>
                <a:latin typeface="+mn-ea"/>
                <a:ea typeface="+mn-ea"/>
              </a:rPr>
              <a:t>원리금 균등 상환 방식으로 연 </a:t>
            </a:r>
            <a:r>
              <a:rPr lang="en-US" altLang="ko-KR" sz="1050" b="0" baseline="0">
                <a:solidFill>
                  <a:schemeClr val="bg1"/>
                </a:solidFill>
                <a:latin typeface="+mn-ea"/>
                <a:ea typeface="+mn-ea"/>
              </a:rPr>
              <a:t>5.9%</a:t>
            </a:r>
            <a:r>
              <a:rPr lang="ko-KR" altLang="en-US" sz="1050" b="0" baseline="0">
                <a:solidFill>
                  <a:schemeClr val="bg1"/>
                </a:solidFill>
                <a:latin typeface="+mn-ea"/>
                <a:ea typeface="+mn-ea"/>
              </a:rPr>
              <a:t>의 이자율이 적용됩니다</a:t>
            </a:r>
            <a:r>
              <a:rPr lang="en-US" altLang="ko-KR" sz="1050" b="0" baseline="0">
                <a:solidFill>
                  <a:schemeClr val="bg1"/>
                </a:solidFill>
                <a:latin typeface="+mn-ea"/>
                <a:ea typeface="+mn-ea"/>
              </a:rPr>
              <a:t>.</a:t>
            </a:r>
          </a:p>
          <a:p>
            <a:pPr lvl="0" algn="l"/>
            <a:r>
              <a:rPr lang="en-US" altLang="ko-KR" sz="1050" b="0" baseline="0">
                <a:solidFill>
                  <a:schemeClr val="bg1"/>
                </a:solidFill>
                <a:effectLst/>
                <a:latin typeface="+mn-ea"/>
                <a:ea typeface="+mn-ea"/>
                <a:cs typeface="+mn-cs"/>
              </a:rPr>
              <a:t>·  </a:t>
            </a:r>
            <a:r>
              <a:rPr lang="ko-KR" altLang="en-US" sz="1050" b="0" baseline="0">
                <a:solidFill>
                  <a:schemeClr val="bg1"/>
                </a:solidFill>
                <a:effectLst/>
                <a:latin typeface="+mn-ea"/>
                <a:ea typeface="+mn-ea"/>
                <a:cs typeface="+mn-cs"/>
              </a:rPr>
              <a:t>위약금 및 잔여 할부금은 기존 통신사 고객센터를 통하여 직접 확인해주셔야 합니다</a:t>
            </a:r>
            <a:r>
              <a:rPr lang="en-US" altLang="ko-KR" sz="1050" b="0" baseline="0">
                <a:solidFill>
                  <a:schemeClr val="bg1"/>
                </a:solidFill>
                <a:effectLst/>
                <a:latin typeface="+mn-ea"/>
                <a:ea typeface="+mn-ea"/>
                <a:cs typeface="+mn-cs"/>
              </a:rPr>
              <a:t>.</a:t>
            </a:r>
          </a:p>
          <a:p>
            <a:pPr lvl="0" algn="l"/>
            <a:r>
              <a:rPr lang="en-US" altLang="ko-KR" sz="1050" b="0" baseline="0">
                <a:solidFill>
                  <a:schemeClr val="bg1"/>
                </a:solidFill>
                <a:effectLst/>
                <a:latin typeface="+mn-ea"/>
                <a:ea typeface="+mn-ea"/>
                <a:cs typeface="+mn-cs"/>
              </a:rPr>
              <a:t>·  </a:t>
            </a:r>
            <a:r>
              <a:rPr lang="ko-KR" altLang="en-US" sz="1050" b="0" baseline="0">
                <a:solidFill>
                  <a:schemeClr val="bg1"/>
                </a:solidFill>
                <a:effectLst/>
                <a:latin typeface="+mn-ea"/>
                <a:ea typeface="+mn-ea"/>
                <a:cs typeface="+mn-cs"/>
              </a:rPr>
              <a:t>필수 유지기간 중 요금제 하향</a:t>
            </a:r>
            <a:r>
              <a:rPr lang="en-US" altLang="ko-KR" sz="1050" b="0" baseline="0">
                <a:solidFill>
                  <a:schemeClr val="bg1"/>
                </a:solidFill>
                <a:effectLst/>
                <a:latin typeface="+mn-ea"/>
                <a:ea typeface="+mn-ea"/>
                <a:cs typeface="+mn-cs"/>
              </a:rPr>
              <a:t> </a:t>
            </a:r>
            <a:r>
              <a:rPr lang="ko-KR" altLang="en-US" sz="1050" b="0" baseline="0">
                <a:solidFill>
                  <a:schemeClr val="bg1"/>
                </a:solidFill>
                <a:effectLst/>
                <a:latin typeface="+mn-ea"/>
                <a:ea typeface="+mn-ea"/>
                <a:cs typeface="+mn-cs"/>
              </a:rPr>
              <a:t>또는 해지 시</a:t>
            </a:r>
            <a:r>
              <a:rPr lang="en-US" altLang="ko-KR" sz="1050" b="0" baseline="0">
                <a:solidFill>
                  <a:schemeClr val="bg1"/>
                </a:solidFill>
                <a:effectLst/>
                <a:latin typeface="+mn-ea"/>
                <a:ea typeface="+mn-ea"/>
                <a:cs typeface="+mn-cs"/>
              </a:rPr>
              <a:t>, </a:t>
            </a:r>
            <a:r>
              <a:rPr lang="ko-KR" altLang="en-US" sz="1050" b="0" baseline="0">
                <a:solidFill>
                  <a:schemeClr val="bg1"/>
                </a:solidFill>
                <a:effectLst/>
                <a:latin typeface="+mn-ea"/>
                <a:ea typeface="+mn-ea"/>
                <a:cs typeface="+mn-cs"/>
              </a:rPr>
              <a:t>위약금이 청구될 수 있습니다</a:t>
            </a:r>
            <a:r>
              <a:rPr lang="en-US" altLang="ko-KR" sz="1050" b="0" baseline="0">
                <a:solidFill>
                  <a:schemeClr val="bg1"/>
                </a:solidFill>
                <a:effectLst/>
                <a:latin typeface="+mn-ea"/>
                <a:ea typeface="+mn-ea"/>
                <a:cs typeface="+mn-cs"/>
              </a:rPr>
              <a:t>. </a:t>
            </a:r>
          </a:p>
        </xdr:txBody>
      </xdr:sp>
      <xdr:grpSp>
        <xdr:nvGrpSpPr>
          <xdr:cNvPr id="16" name="그룹 15">
            <a:extLst>
              <a:ext uri="{FF2B5EF4-FFF2-40B4-BE49-F238E27FC236}">
                <a16:creationId xmlns:a16="http://schemas.microsoft.com/office/drawing/2014/main" id="{00000000-0008-0000-0300-000010000000}"/>
              </a:ext>
            </a:extLst>
          </xdr:cNvPr>
          <xdr:cNvGrpSpPr/>
        </xdr:nvGrpSpPr>
        <xdr:grpSpPr>
          <a:xfrm>
            <a:off x="1902217" y="21384252"/>
            <a:ext cx="2902790" cy="234961"/>
            <a:chOff x="1494301" y="14815860"/>
            <a:chExt cx="3351103" cy="230976"/>
          </a:xfrm>
        </xdr:grpSpPr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00000000-0008-0000-0300-000011000000}"/>
                </a:ext>
              </a:extLst>
            </xdr:cNvPr>
            <xdr:cNvSpPr txBox="1"/>
          </xdr:nvSpPr>
          <xdr:spPr>
            <a:xfrm>
              <a:off x="1494301" y="14830758"/>
              <a:ext cx="2986956" cy="21315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l"/>
              <a:r>
                <a:rPr lang="ko-KR" altLang="en-US" sz="1400" b="1" i="0" u="none" strike="noStrike">
                  <a:solidFill>
                    <a:schemeClr val="bg1"/>
                  </a:solidFill>
                  <a:latin typeface="+mn-ea"/>
                  <a:ea typeface="+mn-ea"/>
                </a:rPr>
                <a:t>우리동네 근처 </a:t>
              </a:r>
              <a:r>
                <a:rPr lang="ko-KR" altLang="en-US" sz="1400" b="1" i="0" u="none" strike="noStrike">
                  <a:solidFill>
                    <a:srgbClr val="FFFF99"/>
                  </a:solidFill>
                  <a:latin typeface="+mn-ea"/>
                  <a:ea typeface="+mn-ea"/>
                </a:rPr>
                <a:t>휴대폰 성지 </a:t>
              </a:r>
              <a:r>
                <a:rPr lang="en-US" altLang="ko-KR" sz="1400" b="1" i="0" u="none" strike="noStrike">
                  <a:solidFill>
                    <a:schemeClr val="bg1"/>
                  </a:solidFill>
                  <a:latin typeface="+mn-ea"/>
                  <a:ea typeface="+mn-ea"/>
                </a:rPr>
                <a:t>- </a:t>
              </a:r>
              <a:r>
                <a:rPr lang="ko-KR" altLang="ko-KR" sz="12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　　　</a:t>
              </a:r>
              <a:r>
                <a:rPr lang="en-US" altLang="ko-KR" sz="12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endParaRPr lang="ko-KR" altLang="en-US" sz="1400" b="1" i="0" u="none" strike="noStrike">
                <a:solidFill>
                  <a:schemeClr val="bg1"/>
                </a:solidFill>
                <a:latin typeface="+mn-ea"/>
                <a:ea typeface="+mn-ea"/>
              </a:endParaRPr>
            </a:p>
          </xdr:txBody>
        </xdr:sp>
        <xdr:pic>
          <xdr:nvPicPr>
            <xdr:cNvPr id="18" name="그림 17">
              <a:extLst>
                <a:ext uri="{FF2B5EF4-FFF2-40B4-BE49-F238E27FC236}">
                  <a16:creationId xmlns:a16="http://schemas.microsoft.com/office/drawing/2014/main" id="{00000000-0008-0000-0300-00001200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7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4249856" y="14815860"/>
              <a:ext cx="595548" cy="230976"/>
            </a:xfrm>
            <a:prstGeom prst="rect">
              <a:avLst/>
            </a:prstGeom>
            <a:ln>
              <a:noFill/>
            </a:ln>
          </xdr:spPr>
        </xdr:pic>
      </xdr:grpSp>
    </xdr:grp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0.png"/></Relationship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tx1">
            <a:lumMod val="75000"/>
            <a:lumOff val="25000"/>
          </a:schemeClr>
        </a:solidFill>
        <a:ln w="6350">
          <a:solidFill>
            <a:schemeClr val="accent1">
              <a:shade val="15000"/>
            </a:schemeClr>
          </a:solidFill>
        </a:ln>
      </a:spPr>
      <a:bodyPr vertOverflow="clip" horzOverflow="clip" rtlCol="0" anchor="t"/>
      <a:lstStyle>
        <a:defPPr algn="l">
          <a:defRPr sz="1100">
            <a:solidFill>
              <a:schemeClr val="tx1">
                <a:lumMod val="65000"/>
                <a:lumOff val="35000"/>
              </a:schemeClr>
            </a:solidFill>
          </a:defRPr>
        </a:defPPr>
      </a:lstStyle>
      <a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C000"/>
  </sheetPr>
  <dimension ref="A1:AB128"/>
  <sheetViews>
    <sheetView showGridLines="0" tabSelected="1" topLeftCell="A71" zoomScale="85" zoomScaleNormal="85" workbookViewId="0">
      <selection activeCell="B88" sqref="B88:I128"/>
    </sheetView>
  </sheetViews>
  <sheetFormatPr defaultColWidth="8.75" defaultRowHeight="14.25" outlineLevelCol="1" x14ac:dyDescent="0.3"/>
  <cols>
    <col min="1" max="1" width="2.25" style="217" customWidth="1"/>
    <col min="2" max="2" width="8.75" style="222" customWidth="1"/>
    <col min="3" max="3" width="20.75" style="222" customWidth="1"/>
    <col min="4" max="9" width="13.125" style="217" customWidth="1"/>
    <col min="10" max="10" width="2.625" style="217" customWidth="1"/>
    <col min="11" max="12" width="5.625" style="217" customWidth="1"/>
    <col min="13" max="13" width="13" style="217" customWidth="1" outlineLevel="1"/>
    <col min="14" max="14" width="13.375" style="217" customWidth="1" outlineLevel="1"/>
    <col min="15" max="20" width="8.75" style="217" customWidth="1" outlineLevel="1"/>
    <col min="21" max="16384" width="8.75" style="217"/>
  </cols>
  <sheetData>
    <row r="1" spans="1:21" ht="16.149999999999999" customHeight="1" x14ac:dyDescent="0.3">
      <c r="A1" s="117"/>
      <c r="B1" s="118"/>
      <c r="C1" s="118"/>
      <c r="D1" s="119"/>
      <c r="E1" s="119"/>
      <c r="F1" s="119"/>
      <c r="G1" s="119"/>
      <c r="H1" s="119"/>
      <c r="I1" s="119"/>
      <c r="J1" s="119"/>
    </row>
    <row r="2" spans="1:21" ht="339.6" customHeight="1" x14ac:dyDescent="0.3">
      <c r="A2" s="119"/>
      <c r="B2" s="376"/>
      <c r="C2" s="376"/>
      <c r="D2" s="377"/>
      <c r="E2" s="377"/>
      <c r="F2" s="377"/>
      <c r="G2" s="377"/>
      <c r="H2" s="377"/>
      <c r="I2" s="377"/>
      <c r="J2" s="119"/>
      <c r="M2" s="374" t="s">
        <v>292</v>
      </c>
      <c r="N2" s="374"/>
      <c r="O2" s="375"/>
      <c r="P2" s="375"/>
      <c r="Q2" s="375"/>
      <c r="R2" s="375"/>
      <c r="S2" s="375"/>
      <c r="T2" s="375"/>
      <c r="U2" s="221" t="s">
        <v>264</v>
      </c>
    </row>
    <row r="3" spans="1:21" ht="10.9" customHeight="1" x14ac:dyDescent="0.3">
      <c r="A3" s="119"/>
      <c r="B3" s="129"/>
      <c r="C3" s="129"/>
      <c r="D3" s="120"/>
      <c r="E3" s="120"/>
      <c r="F3" s="120"/>
      <c r="G3" s="120"/>
      <c r="H3" s="120"/>
      <c r="I3" s="120"/>
      <c r="J3" s="119"/>
    </row>
    <row r="4" spans="1:21" ht="26.45" customHeight="1" x14ac:dyDescent="0.2">
      <c r="A4" s="119"/>
      <c r="B4" s="409"/>
      <c r="C4" s="152" t="s">
        <v>263</v>
      </c>
      <c r="D4" s="424" t="s">
        <v>9</v>
      </c>
      <c r="E4" s="425"/>
      <c r="F4" s="420" t="s">
        <v>10</v>
      </c>
      <c r="G4" s="421"/>
      <c r="H4" s="416" t="s">
        <v>8</v>
      </c>
      <c r="I4" s="417"/>
      <c r="J4" s="216"/>
      <c r="M4" s="412" t="s">
        <v>231</v>
      </c>
      <c r="N4" s="413"/>
      <c r="O4" s="394" t="s">
        <v>9</v>
      </c>
      <c r="P4" s="395"/>
      <c r="Q4" s="398" t="s">
        <v>10</v>
      </c>
      <c r="R4" s="399"/>
      <c r="S4" s="402" t="s">
        <v>8</v>
      </c>
      <c r="T4" s="403"/>
    </row>
    <row r="5" spans="1:21" ht="16.899999999999999" customHeight="1" x14ac:dyDescent="0.3">
      <c r="A5" s="119"/>
      <c r="B5" s="410"/>
      <c r="C5" s="411" t="str">
        <f ca="1">TEXT(TODAY()," m월 d일")</f>
        <v xml:space="preserve"> 6월 25일</v>
      </c>
      <c r="D5" s="426"/>
      <c r="E5" s="427"/>
      <c r="F5" s="422"/>
      <c r="G5" s="423"/>
      <c r="H5" s="418"/>
      <c r="I5" s="419"/>
      <c r="J5" s="119"/>
      <c r="M5" s="414"/>
      <c r="N5" s="415"/>
      <c r="O5" s="396"/>
      <c r="P5" s="397"/>
      <c r="Q5" s="400"/>
      <c r="R5" s="401"/>
      <c r="S5" s="404"/>
      <c r="T5" s="405"/>
    </row>
    <row r="6" spans="1:21" ht="14.45" customHeight="1" x14ac:dyDescent="0.3">
      <c r="A6" s="119"/>
      <c r="B6" s="410"/>
      <c r="C6" s="411"/>
      <c r="D6" s="378" t="s">
        <v>63</v>
      </c>
      <c r="E6" s="379"/>
      <c r="F6" s="382" t="s">
        <v>62</v>
      </c>
      <c r="G6" s="383"/>
      <c r="H6" s="386" t="s">
        <v>362</v>
      </c>
      <c r="I6" s="387"/>
      <c r="J6" s="119"/>
      <c r="K6" s="218"/>
      <c r="L6" s="218"/>
      <c r="M6" s="428" t="s">
        <v>205</v>
      </c>
      <c r="N6" s="429"/>
      <c r="O6" s="390" t="s">
        <v>63</v>
      </c>
      <c r="P6" s="391"/>
      <c r="Q6" s="392" t="s">
        <v>73</v>
      </c>
      <c r="R6" s="392"/>
      <c r="S6" s="393" t="s">
        <v>179</v>
      </c>
      <c r="T6" s="393"/>
    </row>
    <row r="7" spans="1:21" ht="14.45" customHeight="1" x14ac:dyDescent="0.3">
      <c r="A7" s="119"/>
      <c r="B7" s="406" t="s">
        <v>332</v>
      </c>
      <c r="C7" s="407"/>
      <c r="D7" s="380"/>
      <c r="E7" s="381"/>
      <c r="F7" s="384"/>
      <c r="G7" s="385"/>
      <c r="H7" s="388"/>
      <c r="I7" s="389"/>
      <c r="J7" s="119"/>
      <c r="K7" s="218"/>
      <c r="L7" s="218"/>
      <c r="M7" s="430"/>
      <c r="N7" s="431"/>
      <c r="O7" s="390"/>
      <c r="P7" s="391"/>
      <c r="Q7" s="392"/>
      <c r="R7" s="392"/>
      <c r="S7" s="393"/>
      <c r="T7" s="393"/>
    </row>
    <row r="8" spans="1:21" ht="35.25" customHeight="1" x14ac:dyDescent="0.3">
      <c r="A8" s="119"/>
      <c r="B8" s="408"/>
      <c r="C8" s="407"/>
      <c r="D8" s="130" t="s">
        <v>5</v>
      </c>
      <c r="E8" s="131" t="s">
        <v>7</v>
      </c>
      <c r="F8" s="130" t="s">
        <v>227</v>
      </c>
      <c r="G8" s="131" t="s">
        <v>226</v>
      </c>
      <c r="H8" s="130" t="s">
        <v>228</v>
      </c>
      <c r="I8" s="132" t="s">
        <v>229</v>
      </c>
      <c r="J8" s="119"/>
      <c r="K8" s="218"/>
      <c r="L8" s="218"/>
      <c r="M8" s="430"/>
      <c r="N8" s="431"/>
      <c r="O8" s="151" t="s">
        <v>5</v>
      </c>
      <c r="P8" s="133" t="s">
        <v>7</v>
      </c>
      <c r="Q8" s="133" t="s">
        <v>227</v>
      </c>
      <c r="R8" s="133" t="s">
        <v>226</v>
      </c>
      <c r="S8" s="133" t="s">
        <v>228</v>
      </c>
      <c r="T8" s="133" t="s">
        <v>229</v>
      </c>
    </row>
    <row r="9" spans="1:21" ht="25.15" customHeight="1" x14ac:dyDescent="0.3">
      <c r="A9" s="119"/>
      <c r="B9" s="314" t="s">
        <v>336</v>
      </c>
      <c r="C9" s="315"/>
      <c r="D9" s="315"/>
      <c r="E9" s="315"/>
      <c r="F9" s="315"/>
      <c r="G9" s="315"/>
      <c r="H9" s="315"/>
      <c r="I9" s="316"/>
      <c r="J9" s="119"/>
      <c r="K9" s="218"/>
      <c r="L9" s="218"/>
      <c r="M9" s="319" t="s">
        <v>330</v>
      </c>
      <c r="N9" s="320"/>
      <c r="O9" s="320"/>
      <c r="P9" s="320"/>
      <c r="Q9" s="320"/>
      <c r="R9" s="320"/>
      <c r="S9" s="320"/>
      <c r="T9" s="321"/>
    </row>
    <row r="10" spans="1:21" ht="24" customHeight="1" x14ac:dyDescent="0.3">
      <c r="A10" s="119"/>
      <c r="B10" s="317" t="s">
        <v>323</v>
      </c>
      <c r="C10" s="318"/>
      <c r="D10" s="144">
        <f>IF(COUNTIFS(SKT모델명,$B10,SKT요금제,$D$6)=1,
SUMIFS(SKT번이구매가,SKT모델명,$B10,SKT요금제,$D$6)," ")</f>
        <v>22</v>
      </c>
      <c r="E10" s="145">
        <f t="shared" ref="E10:E37" si="0">IF(COUNTIFS(SKT모델명,$B10,SKT요금제,$D$6)=1,
SUMIFS(SKT기변구매가,SKT모델명,$B10,SKT요금제,$D$6)," ")</f>
        <v>30</v>
      </c>
      <c r="F10" s="144">
        <f>IF(COUNTIFS(KT모델명,$B10,KT요금제,$F$6)=1,
SUMIFS(KT번이구매가,KT모델명,$B10,KT요금제,$F$6)," ")</f>
        <v>12</v>
      </c>
      <c r="G10" s="145">
        <f t="shared" ref="G10:G37" si="1">IF(COUNTIFS(KT모델명,$B10,KT요금제,$F$6)=1,
SUMIFS(KT기변구매가,KT모델명,$B10,KT요금제,$F$6)," ")</f>
        <v>18</v>
      </c>
      <c r="H10" s="144">
        <f t="shared" ref="H10:H37" si="2">IF(COUNTIFS(LG모델명,$B10,LG요금제,$H$6)=1,
SUMIFS(LG번이구매가,LG모델명,$B10,LG요금제,$H$6)," ")</f>
        <v>-6</v>
      </c>
      <c r="I10" s="145">
        <f t="shared" ref="I10:I37" si="3">IF(COUNTIFS(LG모델명,$B10,LG요금제,$H$6)=1,
SUMIFS(LG기변구매가,LG모델명,$B10,LG요금제,$H$6)," ")</f>
        <v>7</v>
      </c>
      <c r="J10" s="119"/>
      <c r="K10" s="218"/>
      <c r="L10" s="218"/>
      <c r="M10" s="244" t="str">
        <f t="shared" ref="M10:M82" si="4">$B10</f>
        <v>갤럭시 S26_256G</v>
      </c>
      <c r="N10" s="245"/>
      <c r="O10" s="123"/>
      <c r="P10" s="124" t="s">
        <v>236</v>
      </c>
      <c r="Q10" s="215"/>
      <c r="R10" s="215" t="s">
        <v>236</v>
      </c>
      <c r="S10" s="124"/>
      <c r="T10" s="124" t="s">
        <v>230</v>
      </c>
    </row>
    <row r="11" spans="1:21" ht="24" customHeight="1" x14ac:dyDescent="0.3">
      <c r="A11" s="119"/>
      <c r="B11" s="249" t="s">
        <v>325</v>
      </c>
      <c r="C11" s="250"/>
      <c r="D11" s="144">
        <f t="shared" ref="D11:D37" si="5">IF(COUNTIFS(SKT모델명,$B11,SKT요금제,$D$6)=1,
SUMIFS(SKT번이구매가,SKT모델명,$B11,SKT요금제,$D$6)," ")</f>
        <v>42</v>
      </c>
      <c r="E11" s="145">
        <f t="shared" si="0"/>
        <v>50</v>
      </c>
      <c r="F11" s="144">
        <f t="shared" ref="F11:F37" si="6">IF(COUNTIFS(KT모델명,$B11,KT요금제,$F$6)=1,
SUMIFS(KT번이구매가,KT모델명,$B11,KT요금제,$F$6)," ")</f>
        <v>32</v>
      </c>
      <c r="G11" s="145">
        <f t="shared" si="1"/>
        <v>38</v>
      </c>
      <c r="H11" s="144">
        <f t="shared" si="2"/>
        <v>13</v>
      </c>
      <c r="I11" s="145">
        <f t="shared" si="3"/>
        <v>27</v>
      </c>
      <c r="J11" s="119"/>
      <c r="K11" s="218"/>
      <c r="L11" s="218"/>
      <c r="M11" s="244" t="str">
        <f t="shared" si="4"/>
        <v>갤럭시 S26 플러스_256G</v>
      </c>
      <c r="N11" s="245"/>
      <c r="O11" s="123"/>
      <c r="P11" s="124" t="s">
        <v>236</v>
      </c>
      <c r="Q11" s="215"/>
      <c r="R11" s="215" t="s">
        <v>236</v>
      </c>
      <c r="S11" s="124"/>
      <c r="T11" s="124" t="s">
        <v>230</v>
      </c>
    </row>
    <row r="12" spans="1:21" ht="24" customHeight="1" x14ac:dyDescent="0.3">
      <c r="A12" s="119"/>
      <c r="B12" s="249" t="s">
        <v>327</v>
      </c>
      <c r="C12" s="250"/>
      <c r="D12" s="144">
        <f t="shared" si="5"/>
        <v>76</v>
      </c>
      <c r="E12" s="145">
        <f t="shared" si="0"/>
        <v>84</v>
      </c>
      <c r="F12" s="144">
        <f t="shared" si="6"/>
        <v>67</v>
      </c>
      <c r="G12" s="145">
        <f t="shared" si="1"/>
        <v>72</v>
      </c>
      <c r="H12" s="144">
        <f t="shared" si="2"/>
        <v>47</v>
      </c>
      <c r="I12" s="145">
        <f t="shared" si="3"/>
        <v>62</v>
      </c>
      <c r="J12" s="119"/>
      <c r="K12" s="218"/>
      <c r="L12" s="218"/>
      <c r="M12" s="244" t="str">
        <f t="shared" si="4"/>
        <v>갤럭시 S26 울트라_256G</v>
      </c>
      <c r="N12" s="245"/>
      <c r="O12" s="123"/>
      <c r="P12" s="124" t="s">
        <v>236</v>
      </c>
      <c r="Q12" s="215"/>
      <c r="R12" s="215" t="s">
        <v>236</v>
      </c>
      <c r="S12" s="124"/>
      <c r="T12" s="124" t="s">
        <v>230</v>
      </c>
    </row>
    <row r="13" spans="1:21" ht="24" customHeight="1" x14ac:dyDescent="0.3">
      <c r="A13" s="119"/>
      <c r="B13" s="317" t="s">
        <v>324</v>
      </c>
      <c r="C13" s="318"/>
      <c r="D13" s="144">
        <f t="shared" si="5"/>
        <v>47</v>
      </c>
      <c r="E13" s="145">
        <f t="shared" si="0"/>
        <v>54</v>
      </c>
      <c r="F13" s="144">
        <f t="shared" si="6"/>
        <v>38</v>
      </c>
      <c r="G13" s="145">
        <f t="shared" si="1"/>
        <v>49</v>
      </c>
      <c r="H13" s="144">
        <f t="shared" si="2"/>
        <v>18</v>
      </c>
      <c r="I13" s="145">
        <f t="shared" si="3"/>
        <v>67</v>
      </c>
      <c r="J13" s="119"/>
      <c r="K13" s="218"/>
      <c r="L13" s="218"/>
      <c r="M13" s="244" t="str">
        <f t="shared" si="4"/>
        <v>갤럭시 S26_512G</v>
      </c>
      <c r="N13" s="245"/>
      <c r="O13" s="123"/>
      <c r="P13" s="124"/>
      <c r="Q13" s="215"/>
      <c r="R13" s="215" t="s">
        <v>236</v>
      </c>
      <c r="S13" s="124"/>
      <c r="T13" s="124" t="s">
        <v>230</v>
      </c>
    </row>
    <row r="14" spans="1:21" ht="24" customHeight="1" x14ac:dyDescent="0.3">
      <c r="A14" s="119"/>
      <c r="B14" s="249" t="s">
        <v>326</v>
      </c>
      <c r="C14" s="250"/>
      <c r="D14" s="144">
        <f t="shared" si="5"/>
        <v>67</v>
      </c>
      <c r="E14" s="145">
        <f t="shared" si="0"/>
        <v>65</v>
      </c>
      <c r="F14" s="144">
        <f t="shared" si="6"/>
        <v>57</v>
      </c>
      <c r="G14" s="145">
        <f t="shared" si="1"/>
        <v>68</v>
      </c>
      <c r="H14" s="144">
        <f t="shared" si="2"/>
        <v>38</v>
      </c>
      <c r="I14" s="145">
        <f t="shared" si="3"/>
        <v>58</v>
      </c>
      <c r="J14" s="119"/>
      <c r="K14" s="218"/>
      <c r="L14" s="218"/>
      <c r="M14" s="244" t="str">
        <f t="shared" si="4"/>
        <v>갤럭시 S26 플러스_512G</v>
      </c>
      <c r="N14" s="245"/>
      <c r="O14" s="123"/>
      <c r="P14" s="124" t="s">
        <v>236</v>
      </c>
      <c r="Q14" s="215"/>
      <c r="R14" s="215" t="s">
        <v>236</v>
      </c>
      <c r="S14" s="124"/>
      <c r="T14" s="124" t="s">
        <v>230</v>
      </c>
    </row>
    <row r="15" spans="1:21" ht="24" customHeight="1" x14ac:dyDescent="0.3">
      <c r="A15" s="119"/>
      <c r="B15" s="249" t="s">
        <v>328</v>
      </c>
      <c r="C15" s="250"/>
      <c r="D15" s="144">
        <f t="shared" si="5"/>
        <v>102</v>
      </c>
      <c r="E15" s="145">
        <f t="shared" si="0"/>
        <v>114</v>
      </c>
      <c r="F15" s="144">
        <f t="shared" si="6"/>
        <v>92</v>
      </c>
      <c r="G15" s="145">
        <f t="shared" si="1"/>
        <v>104</v>
      </c>
      <c r="H15" s="144">
        <f t="shared" si="2"/>
        <v>73</v>
      </c>
      <c r="I15" s="145">
        <f t="shared" si="3"/>
        <v>93</v>
      </c>
      <c r="J15" s="119"/>
      <c r="K15" s="218"/>
      <c r="L15" s="218"/>
      <c r="M15" s="244" t="str">
        <f t="shared" si="4"/>
        <v>갤럭시 S26 울트라_512G</v>
      </c>
      <c r="N15" s="245"/>
      <c r="O15" s="123"/>
      <c r="P15" s="124" t="s">
        <v>236</v>
      </c>
      <c r="Q15" s="215"/>
      <c r="R15" s="215" t="s">
        <v>236</v>
      </c>
      <c r="S15" s="124"/>
      <c r="T15" s="124" t="s">
        <v>230</v>
      </c>
    </row>
    <row r="16" spans="1:21" ht="24" customHeight="1" x14ac:dyDescent="0.3">
      <c r="A16" s="119"/>
      <c r="B16" s="171"/>
      <c r="C16" s="172" t="s">
        <v>329</v>
      </c>
      <c r="D16" s="251" t="s">
        <v>39</v>
      </c>
      <c r="E16" s="251"/>
      <c r="F16" s="325" t="s">
        <v>62</v>
      </c>
      <c r="G16" s="325"/>
      <c r="H16" s="276" t="s">
        <v>362</v>
      </c>
      <c r="I16" s="277"/>
      <c r="J16" s="119"/>
      <c r="K16" s="218"/>
      <c r="L16" s="218"/>
      <c r="M16" s="171">
        <f t="shared" si="4"/>
        <v>0</v>
      </c>
      <c r="N16" s="172"/>
      <c r="O16" s="251"/>
      <c r="P16" s="251"/>
      <c r="Q16" s="325"/>
      <c r="R16" s="325"/>
      <c r="S16" s="276"/>
      <c r="T16" s="277"/>
    </row>
    <row r="17" spans="1:20" ht="24" customHeight="1" x14ac:dyDescent="0.3">
      <c r="A17" s="119"/>
      <c r="B17" s="242" t="s">
        <v>332</v>
      </c>
      <c r="C17" s="243"/>
      <c r="D17" s="137" t="s">
        <v>5</v>
      </c>
      <c r="E17" s="138" t="s">
        <v>7</v>
      </c>
      <c r="F17" s="137" t="s">
        <v>227</v>
      </c>
      <c r="G17" s="138" t="s">
        <v>226</v>
      </c>
      <c r="H17" s="139" t="s">
        <v>228</v>
      </c>
      <c r="I17" s="138" t="s">
        <v>229</v>
      </c>
      <c r="J17" s="119"/>
      <c r="K17" s="218"/>
      <c r="L17" s="218"/>
      <c r="M17" s="242"/>
      <c r="N17" s="243"/>
      <c r="O17" s="137"/>
      <c r="P17" s="138"/>
      <c r="Q17" s="137"/>
      <c r="R17" s="138"/>
      <c r="S17" s="139"/>
      <c r="T17" s="138"/>
    </row>
    <row r="18" spans="1:20" ht="24" customHeight="1" x14ac:dyDescent="0.3">
      <c r="A18" s="119"/>
      <c r="B18" s="326" t="s">
        <v>234</v>
      </c>
      <c r="C18" s="327"/>
      <c r="D18" s="327"/>
      <c r="E18" s="327"/>
      <c r="F18" s="327"/>
      <c r="G18" s="327"/>
      <c r="H18" s="327"/>
      <c r="I18" s="328"/>
      <c r="J18" s="119"/>
      <c r="K18" s="218"/>
      <c r="L18" s="218"/>
      <c r="M18" s="322" t="s">
        <v>234</v>
      </c>
      <c r="N18" s="323"/>
      <c r="O18" s="323"/>
      <c r="P18" s="323"/>
      <c r="Q18" s="323"/>
      <c r="R18" s="323"/>
      <c r="S18" s="323"/>
      <c r="T18" s="324"/>
    </row>
    <row r="19" spans="1:20" ht="24" customHeight="1" x14ac:dyDescent="0.3">
      <c r="A19" s="119"/>
      <c r="B19" s="317" t="s">
        <v>206</v>
      </c>
      <c r="C19" s="318"/>
      <c r="D19" s="144">
        <f t="shared" ref="D19:D28" si="7">IF(COUNTIFS(SKT모델명,$B19,SKT요금제,$D$16)=1,
SUMIFS(SKT번이구매가,SKT모델명,$B19,SKT요금제,$D$6)," ")</f>
        <v>42</v>
      </c>
      <c r="E19" s="145">
        <f>IF(COUNTIFS(SKT모델명,$B19,SKT요금제,$D$16)=1,
SUMIFS(SKT기변구매가,SKT모델명,$B19,SKT요금제,$D$16)," ")</f>
        <v>77</v>
      </c>
      <c r="F19" s="144">
        <f t="shared" ref="F19:F27" si="8">IF(COUNTIFS(KT모델명,$B19,KT요금제,$F$16)=1,
SUMIFS(KT번이구매가,KT모델명,$B19,KT요금제,$F$16)," ")</f>
        <v>33</v>
      </c>
      <c r="G19" s="145">
        <f t="shared" ref="G19:G27" si="9">IF(COUNTIFS(KT모델명,$B19,KT요금제,$F$16)=1,
SUMIFS(KT기변구매가,KT모델명,$B19,KT요금제,$F$16)," ")</f>
        <v>55</v>
      </c>
      <c r="H19" s="144">
        <f t="shared" ref="H19:H28" si="10">IF(COUNTIFS(LG모델명,$B19,LG요금제,$H$16)=1,
SUMIFS(LG번이구매가,LG모델명,$B19,LG요금제,$H$16)," ")</f>
        <v>52</v>
      </c>
      <c r="I19" s="145">
        <f t="shared" ref="I19:I28" si="11">IF(COUNTIFS(LG모델명,$B19,LG요금제,$H$16)=1,
SUMIFS(LG기변구매가,LG모델명,$B19,LG요금제,$H$16)," ")</f>
        <v>64</v>
      </c>
      <c r="J19" s="119"/>
      <c r="K19" s="218"/>
      <c r="L19" s="218"/>
      <c r="M19" s="244" t="str">
        <f t="shared" si="4"/>
        <v>갤럭시Z플립7</v>
      </c>
      <c r="N19" s="245"/>
      <c r="O19" s="123"/>
      <c r="P19" s="213"/>
      <c r="Q19" s="215"/>
      <c r="R19" s="124" t="s">
        <v>230</v>
      </c>
      <c r="S19" s="125" t="s">
        <v>236</v>
      </c>
      <c r="T19" s="124" t="s">
        <v>230</v>
      </c>
    </row>
    <row r="20" spans="1:20" ht="24" customHeight="1" x14ac:dyDescent="0.3">
      <c r="A20" s="119"/>
      <c r="B20" s="249" t="s">
        <v>207</v>
      </c>
      <c r="C20" s="250"/>
      <c r="D20" s="144">
        <f t="shared" si="7"/>
        <v>135</v>
      </c>
      <c r="E20" s="145">
        <f t="shared" ref="E20:E28" si="12">IF(COUNTIFS(SKT모델명,$B20,SKT요금제,$D$16)=1,
SUMIFS(SKT기변구매가,SKT모델명,$B20,SKT요금제,$D$6)," ")</f>
        <v>164</v>
      </c>
      <c r="F20" s="144">
        <f t="shared" si="8"/>
        <v>128</v>
      </c>
      <c r="G20" s="145">
        <f t="shared" si="9"/>
        <v>142</v>
      </c>
      <c r="H20" s="144">
        <f t="shared" si="10"/>
        <v>134</v>
      </c>
      <c r="I20" s="145">
        <f t="shared" si="11"/>
        <v>128</v>
      </c>
      <c r="J20" s="119"/>
      <c r="K20" s="218"/>
      <c r="L20" s="218"/>
      <c r="M20" s="244" t="str">
        <f t="shared" si="4"/>
        <v>갤럭시Z폴드7</v>
      </c>
      <c r="N20" s="245"/>
      <c r="O20" s="123"/>
      <c r="P20" s="213"/>
      <c r="Q20" s="123"/>
      <c r="R20" s="124" t="s">
        <v>236</v>
      </c>
      <c r="S20" s="125" t="s">
        <v>236</v>
      </c>
      <c r="T20" s="124" t="s">
        <v>236</v>
      </c>
    </row>
    <row r="21" spans="1:20" ht="24" customHeight="1" x14ac:dyDescent="0.3">
      <c r="A21" s="119"/>
      <c r="B21" s="249" t="s">
        <v>120</v>
      </c>
      <c r="C21" s="250"/>
      <c r="D21" s="144">
        <f t="shared" si="7"/>
        <v>11</v>
      </c>
      <c r="E21" s="145">
        <f t="shared" si="12"/>
        <v>47</v>
      </c>
      <c r="F21" s="144">
        <f t="shared" si="8"/>
        <v>-2</v>
      </c>
      <c r="G21" s="145">
        <f t="shared" si="9"/>
        <v>-1</v>
      </c>
      <c r="H21" s="144">
        <f t="shared" si="10"/>
        <v>17</v>
      </c>
      <c r="I21" s="145">
        <f t="shared" si="11"/>
        <v>25</v>
      </c>
      <c r="J21" s="119"/>
      <c r="K21" s="218"/>
      <c r="L21" s="218"/>
      <c r="M21" s="244" t="str">
        <f t="shared" si="4"/>
        <v>갤럭시S25</v>
      </c>
      <c r="N21" s="245"/>
      <c r="O21" s="123"/>
      <c r="P21" s="124" t="s">
        <v>236</v>
      </c>
      <c r="Q21" s="123"/>
      <c r="R21" s="124"/>
      <c r="S21" s="125"/>
      <c r="T21" s="124" t="s">
        <v>230</v>
      </c>
    </row>
    <row r="22" spans="1:20" ht="24" customHeight="1" x14ac:dyDescent="0.3">
      <c r="A22" s="119"/>
      <c r="B22" s="249" t="s">
        <v>208</v>
      </c>
      <c r="C22" s="250"/>
      <c r="D22" s="144">
        <f t="shared" si="7"/>
        <v>31</v>
      </c>
      <c r="E22" s="145">
        <f t="shared" si="12"/>
        <v>70</v>
      </c>
      <c r="F22" s="144">
        <f t="shared" si="8"/>
        <v>18</v>
      </c>
      <c r="G22" s="145">
        <f t="shared" si="9"/>
        <v>19</v>
      </c>
      <c r="H22" s="144">
        <f t="shared" si="10"/>
        <v>39</v>
      </c>
      <c r="I22" s="145">
        <f t="shared" si="11"/>
        <v>51</v>
      </c>
      <c r="J22" s="119"/>
      <c r="K22" s="218"/>
      <c r="L22" s="218"/>
      <c r="M22" s="244" t="str">
        <f t="shared" si="4"/>
        <v>갤럭시S25+</v>
      </c>
      <c r="N22" s="245"/>
      <c r="O22" s="123"/>
      <c r="P22" s="124" t="s">
        <v>236</v>
      </c>
      <c r="Q22" s="123"/>
      <c r="R22" s="124"/>
      <c r="S22" s="125"/>
      <c r="T22" s="124"/>
    </row>
    <row r="23" spans="1:20" ht="24" customHeight="1" x14ac:dyDescent="0.3">
      <c r="A23" s="119"/>
      <c r="B23" s="249" t="s">
        <v>209</v>
      </c>
      <c r="C23" s="250"/>
      <c r="D23" s="144">
        <f t="shared" si="7"/>
        <v>65</v>
      </c>
      <c r="E23" s="145">
        <f t="shared" si="12"/>
        <v>101</v>
      </c>
      <c r="F23" s="144">
        <f t="shared" si="8"/>
        <v>53</v>
      </c>
      <c r="G23" s="145">
        <f t="shared" si="9"/>
        <v>54</v>
      </c>
      <c r="H23" s="144">
        <f t="shared" si="10"/>
        <v>72</v>
      </c>
      <c r="I23" s="145">
        <f t="shared" si="11"/>
        <v>80</v>
      </c>
      <c r="J23" s="119"/>
      <c r="K23" s="218"/>
      <c r="L23" s="218"/>
      <c r="M23" s="244" t="str">
        <f t="shared" si="4"/>
        <v>갤럭시S25울트라</v>
      </c>
      <c r="N23" s="245"/>
      <c r="O23" s="123"/>
      <c r="P23" s="124" t="s">
        <v>236</v>
      </c>
      <c r="Q23" s="123"/>
      <c r="R23" s="213"/>
      <c r="S23" s="125"/>
      <c r="T23" s="124" t="s">
        <v>230</v>
      </c>
    </row>
    <row r="24" spans="1:20" ht="24" customHeight="1" x14ac:dyDescent="0.3">
      <c r="A24" s="119"/>
      <c r="B24" s="249" t="s">
        <v>210</v>
      </c>
      <c r="C24" s="250"/>
      <c r="D24" s="144">
        <f t="shared" si="7"/>
        <v>22</v>
      </c>
      <c r="E24" s="145">
        <f t="shared" si="12"/>
        <v>29</v>
      </c>
      <c r="F24" s="144">
        <f t="shared" si="8"/>
        <v>18</v>
      </c>
      <c r="G24" s="145">
        <f t="shared" si="9"/>
        <v>16</v>
      </c>
      <c r="H24" s="144">
        <f t="shared" si="10"/>
        <v>19</v>
      </c>
      <c r="I24" s="145">
        <f t="shared" si="11"/>
        <v>20</v>
      </c>
      <c r="J24" s="119"/>
      <c r="K24" s="218"/>
      <c r="L24" s="218"/>
      <c r="M24" s="244" t="str">
        <f t="shared" si="4"/>
        <v>갤럭시S25엣지</v>
      </c>
      <c r="N24" s="245"/>
      <c r="O24" s="123"/>
      <c r="P24" s="124">
        <v>0</v>
      </c>
      <c r="Q24" s="123"/>
      <c r="R24" s="124" t="s">
        <v>236</v>
      </c>
      <c r="S24" s="125" t="s">
        <v>236</v>
      </c>
      <c r="T24" s="124" t="s">
        <v>293</v>
      </c>
    </row>
    <row r="25" spans="1:20" ht="24" hidden="1" customHeight="1" x14ac:dyDescent="0.3">
      <c r="A25" s="119"/>
      <c r="B25" s="249" t="s">
        <v>211</v>
      </c>
      <c r="C25" s="250"/>
      <c r="D25" s="144" t="str">
        <f t="shared" si="7"/>
        <v xml:space="preserve"> </v>
      </c>
      <c r="E25" s="145" t="str">
        <f t="shared" si="12"/>
        <v xml:space="preserve"> </v>
      </c>
      <c r="F25" s="144" t="str">
        <f t="shared" si="8"/>
        <v xml:space="preserve"> </v>
      </c>
      <c r="G25" s="145" t="str">
        <f t="shared" si="9"/>
        <v xml:space="preserve"> </v>
      </c>
      <c r="H25" s="144" t="str">
        <f t="shared" si="10"/>
        <v xml:space="preserve"> </v>
      </c>
      <c r="I25" s="145" t="str">
        <f t="shared" si="11"/>
        <v xml:space="preserve"> </v>
      </c>
      <c r="J25" s="119"/>
      <c r="M25" s="244" t="str">
        <f t="shared" si="4"/>
        <v>갤럭시S24+</v>
      </c>
      <c r="N25" s="245"/>
      <c r="O25" s="123"/>
      <c r="P25" s="124" t="s">
        <v>293</v>
      </c>
      <c r="Q25" s="123"/>
      <c r="R25" s="124"/>
      <c r="S25" s="125"/>
      <c r="T25" s="124"/>
    </row>
    <row r="26" spans="1:20" ht="24" hidden="1" customHeight="1" x14ac:dyDescent="0.3">
      <c r="A26" s="119"/>
      <c r="B26" s="249" t="s">
        <v>212</v>
      </c>
      <c r="C26" s="250"/>
      <c r="D26" s="144" t="str">
        <f t="shared" si="7"/>
        <v xml:space="preserve"> </v>
      </c>
      <c r="E26" s="145" t="str">
        <f t="shared" si="12"/>
        <v xml:space="preserve"> </v>
      </c>
      <c r="F26" s="144" t="str">
        <f t="shared" si="8"/>
        <v xml:space="preserve"> </v>
      </c>
      <c r="G26" s="145" t="str">
        <f t="shared" si="9"/>
        <v xml:space="preserve"> </v>
      </c>
      <c r="H26" s="144" t="str">
        <f t="shared" si="10"/>
        <v xml:space="preserve"> </v>
      </c>
      <c r="I26" s="145" t="str">
        <f t="shared" si="11"/>
        <v xml:space="preserve"> </v>
      </c>
      <c r="J26" s="119"/>
      <c r="M26" s="244" t="str">
        <f t="shared" si="4"/>
        <v>갤럭시S24울트라</v>
      </c>
      <c r="N26" s="245"/>
      <c r="O26" s="123"/>
      <c r="P26" s="124"/>
      <c r="Q26" s="123"/>
      <c r="R26" s="124"/>
      <c r="S26" s="125"/>
      <c r="T26" s="124"/>
    </row>
    <row r="27" spans="1:20" ht="24" customHeight="1" x14ac:dyDescent="0.3">
      <c r="A27" s="119"/>
      <c r="B27" s="249" t="s">
        <v>187</v>
      </c>
      <c r="C27" s="250"/>
      <c r="D27" s="144">
        <f t="shared" si="7"/>
        <v>-19</v>
      </c>
      <c r="E27" s="145">
        <f t="shared" si="12"/>
        <v>1</v>
      </c>
      <c r="F27" s="144" t="str">
        <f t="shared" si="8"/>
        <v xml:space="preserve"> </v>
      </c>
      <c r="G27" s="145" t="str">
        <f t="shared" si="9"/>
        <v xml:space="preserve"> </v>
      </c>
      <c r="H27" s="144">
        <f t="shared" si="10"/>
        <v>-24</v>
      </c>
      <c r="I27" s="145">
        <f t="shared" si="11"/>
        <v>10</v>
      </c>
      <c r="J27" s="119"/>
      <c r="M27" s="244" t="str">
        <f t="shared" si="4"/>
        <v>갤럭시S25FE</v>
      </c>
      <c r="N27" s="245"/>
      <c r="O27" s="124"/>
      <c r="P27" s="124"/>
      <c r="Q27" s="123"/>
      <c r="R27" s="213"/>
      <c r="S27" s="212" t="s">
        <v>236</v>
      </c>
      <c r="T27" s="213"/>
    </row>
    <row r="28" spans="1:20" ht="24" customHeight="1" x14ac:dyDescent="0.3">
      <c r="A28" s="119"/>
      <c r="B28" s="249" t="s">
        <v>319</v>
      </c>
      <c r="C28" s="250"/>
      <c r="D28" s="144">
        <f t="shared" si="7"/>
        <v>-18</v>
      </c>
      <c r="E28" s="145">
        <f t="shared" si="12"/>
        <v>-15</v>
      </c>
      <c r="F28" s="144" t="str">
        <f t="shared" si="6"/>
        <v xml:space="preserve"> </v>
      </c>
      <c r="G28" s="145" t="str">
        <f t="shared" si="1"/>
        <v xml:space="preserve"> </v>
      </c>
      <c r="H28" s="144" t="str">
        <f t="shared" si="10"/>
        <v xml:space="preserve"> </v>
      </c>
      <c r="I28" s="145" t="str">
        <f t="shared" si="11"/>
        <v xml:space="preserve"> </v>
      </c>
      <c r="J28" s="119"/>
      <c r="M28" s="244" t="str">
        <f t="shared" si="4"/>
        <v>갤럭시퀀텀6</v>
      </c>
      <c r="N28" s="245"/>
      <c r="O28" s="123"/>
      <c r="P28" s="124"/>
      <c r="Q28" s="123"/>
      <c r="R28" s="124"/>
      <c r="S28" s="125"/>
      <c r="T28" s="124"/>
    </row>
    <row r="29" spans="1:20" ht="24" hidden="1" customHeight="1" x14ac:dyDescent="0.3">
      <c r="A29" s="119"/>
      <c r="B29" s="249" t="s">
        <v>20</v>
      </c>
      <c r="C29" s="250"/>
      <c r="D29" s="144" t="str">
        <f t="shared" si="5"/>
        <v xml:space="preserve"> </v>
      </c>
      <c r="E29" s="145" t="str">
        <f t="shared" si="0"/>
        <v xml:space="preserve"> </v>
      </c>
      <c r="F29" s="144" t="str">
        <f t="shared" si="6"/>
        <v xml:space="preserve"> </v>
      </c>
      <c r="G29" s="145" t="str">
        <f t="shared" si="1"/>
        <v xml:space="preserve"> </v>
      </c>
      <c r="H29" s="144" t="str">
        <f t="shared" si="2"/>
        <v xml:space="preserve"> </v>
      </c>
      <c r="I29" s="145" t="str">
        <f t="shared" si="3"/>
        <v xml:space="preserve"> </v>
      </c>
      <c r="J29" s="119"/>
      <c r="M29" s="244" t="str">
        <f t="shared" si="4"/>
        <v>갤럭시 Z 폴드6</v>
      </c>
      <c r="N29" s="245"/>
      <c r="O29" s="123"/>
      <c r="P29" s="124"/>
      <c r="Q29" s="123"/>
      <c r="R29" s="124"/>
      <c r="S29" s="125"/>
      <c r="T29" s="124"/>
    </row>
    <row r="30" spans="1:20" ht="24" hidden="1" customHeight="1" x14ac:dyDescent="0.3">
      <c r="A30" s="119"/>
      <c r="B30" s="249"/>
      <c r="C30" s="250"/>
      <c r="D30" s="144" t="str">
        <f t="shared" si="5"/>
        <v xml:space="preserve"> </v>
      </c>
      <c r="E30" s="145" t="str">
        <f t="shared" si="0"/>
        <v xml:space="preserve"> </v>
      </c>
      <c r="F30" s="144" t="str">
        <f t="shared" si="6"/>
        <v xml:space="preserve"> </v>
      </c>
      <c r="G30" s="145" t="str">
        <f t="shared" si="1"/>
        <v xml:space="preserve"> </v>
      </c>
      <c r="H30" s="144" t="str">
        <f t="shared" si="2"/>
        <v xml:space="preserve"> </v>
      </c>
      <c r="I30" s="145" t="str">
        <f t="shared" si="3"/>
        <v xml:space="preserve"> </v>
      </c>
      <c r="J30" s="119"/>
      <c r="M30" s="244">
        <f t="shared" si="4"/>
        <v>0</v>
      </c>
      <c r="N30" s="245"/>
      <c r="O30" s="123"/>
      <c r="P30" s="124"/>
      <c r="Q30" s="123"/>
      <c r="R30" s="124"/>
      <c r="S30" s="125"/>
      <c r="T30" s="124"/>
    </row>
    <row r="31" spans="1:20" ht="24" hidden="1" customHeight="1" x14ac:dyDescent="0.3">
      <c r="A31" s="119"/>
      <c r="B31" s="249"/>
      <c r="C31" s="250"/>
      <c r="D31" s="144" t="str">
        <f t="shared" si="5"/>
        <v xml:space="preserve"> </v>
      </c>
      <c r="E31" s="145" t="str">
        <f t="shared" si="0"/>
        <v xml:space="preserve"> </v>
      </c>
      <c r="F31" s="144" t="str">
        <f t="shared" si="6"/>
        <v xml:space="preserve"> </v>
      </c>
      <c r="G31" s="145" t="str">
        <f t="shared" si="1"/>
        <v xml:space="preserve"> </v>
      </c>
      <c r="H31" s="144" t="str">
        <f t="shared" si="2"/>
        <v xml:space="preserve"> </v>
      </c>
      <c r="I31" s="145" t="str">
        <f t="shared" si="3"/>
        <v xml:space="preserve"> </v>
      </c>
      <c r="J31" s="119"/>
      <c r="M31" s="244">
        <f t="shared" si="4"/>
        <v>0</v>
      </c>
      <c r="N31" s="245"/>
      <c r="O31" s="123"/>
      <c r="P31" s="124"/>
      <c r="Q31" s="123"/>
      <c r="R31" s="124"/>
      <c r="S31" s="125"/>
      <c r="T31" s="124"/>
    </row>
    <row r="32" spans="1:20" ht="24" hidden="1" customHeight="1" x14ac:dyDescent="0.3">
      <c r="A32" s="119"/>
      <c r="B32" s="249"/>
      <c r="C32" s="250"/>
      <c r="D32" s="144" t="str">
        <f t="shared" si="5"/>
        <v xml:space="preserve"> </v>
      </c>
      <c r="E32" s="145" t="str">
        <f t="shared" si="0"/>
        <v xml:space="preserve"> </v>
      </c>
      <c r="F32" s="144" t="str">
        <f t="shared" si="6"/>
        <v xml:space="preserve"> </v>
      </c>
      <c r="G32" s="145" t="str">
        <f t="shared" si="1"/>
        <v xml:space="preserve"> </v>
      </c>
      <c r="H32" s="144" t="str">
        <f t="shared" si="2"/>
        <v xml:space="preserve"> </v>
      </c>
      <c r="I32" s="145" t="str">
        <f t="shared" si="3"/>
        <v xml:space="preserve"> </v>
      </c>
      <c r="J32" s="119"/>
      <c r="M32" s="244">
        <f t="shared" si="4"/>
        <v>0</v>
      </c>
      <c r="N32" s="245"/>
      <c r="O32" s="123"/>
      <c r="P32" s="124"/>
      <c r="Q32" s="123"/>
      <c r="R32" s="124"/>
      <c r="S32" s="125"/>
      <c r="T32" s="124"/>
    </row>
    <row r="33" spans="1:20" ht="24" hidden="1" customHeight="1" x14ac:dyDescent="0.3">
      <c r="A33" s="119"/>
      <c r="B33" s="249"/>
      <c r="C33" s="250"/>
      <c r="D33" s="144" t="str">
        <f t="shared" si="5"/>
        <v xml:space="preserve"> </v>
      </c>
      <c r="E33" s="145" t="str">
        <f t="shared" si="0"/>
        <v xml:space="preserve"> </v>
      </c>
      <c r="F33" s="144" t="str">
        <f t="shared" si="6"/>
        <v xml:space="preserve"> </v>
      </c>
      <c r="G33" s="145" t="str">
        <f t="shared" si="1"/>
        <v xml:space="preserve"> </v>
      </c>
      <c r="H33" s="144" t="str">
        <f t="shared" si="2"/>
        <v xml:space="preserve"> </v>
      </c>
      <c r="I33" s="145" t="str">
        <f t="shared" si="3"/>
        <v xml:space="preserve"> </v>
      </c>
      <c r="J33" s="119"/>
      <c r="M33" s="244">
        <f t="shared" si="4"/>
        <v>0</v>
      </c>
      <c r="N33" s="245"/>
      <c r="O33" s="123"/>
      <c r="P33" s="124"/>
      <c r="Q33" s="123"/>
      <c r="R33" s="124"/>
      <c r="S33" s="125"/>
      <c r="T33" s="124"/>
    </row>
    <row r="34" spans="1:20" ht="24" hidden="1" customHeight="1" x14ac:dyDescent="0.3">
      <c r="A34" s="119"/>
      <c r="B34" s="249"/>
      <c r="C34" s="250"/>
      <c r="D34" s="144" t="str">
        <f t="shared" si="5"/>
        <v xml:space="preserve"> </v>
      </c>
      <c r="E34" s="145" t="str">
        <f t="shared" si="0"/>
        <v xml:space="preserve"> </v>
      </c>
      <c r="F34" s="144" t="str">
        <f t="shared" si="6"/>
        <v xml:space="preserve"> </v>
      </c>
      <c r="G34" s="145" t="str">
        <f t="shared" si="1"/>
        <v xml:space="preserve"> </v>
      </c>
      <c r="H34" s="144" t="str">
        <f t="shared" si="2"/>
        <v xml:space="preserve"> </v>
      </c>
      <c r="I34" s="145" t="str">
        <f t="shared" si="3"/>
        <v xml:space="preserve"> </v>
      </c>
      <c r="J34" s="119"/>
      <c r="M34" s="244">
        <f t="shared" si="4"/>
        <v>0</v>
      </c>
      <c r="N34" s="245"/>
      <c r="O34" s="123"/>
      <c r="P34" s="124"/>
      <c r="Q34" s="123"/>
      <c r="R34" s="124"/>
      <c r="S34" s="125"/>
      <c r="T34" s="124"/>
    </row>
    <row r="35" spans="1:20" ht="24" hidden="1" customHeight="1" x14ac:dyDescent="0.3">
      <c r="A35" s="119"/>
      <c r="B35" s="249"/>
      <c r="C35" s="250"/>
      <c r="D35" s="144" t="str">
        <f t="shared" si="5"/>
        <v xml:space="preserve"> </v>
      </c>
      <c r="E35" s="145" t="str">
        <f t="shared" si="0"/>
        <v xml:space="preserve"> </v>
      </c>
      <c r="F35" s="144" t="str">
        <f t="shared" si="6"/>
        <v xml:space="preserve"> </v>
      </c>
      <c r="G35" s="145" t="str">
        <f t="shared" si="1"/>
        <v xml:space="preserve"> </v>
      </c>
      <c r="H35" s="144" t="str">
        <f t="shared" si="2"/>
        <v xml:space="preserve"> </v>
      </c>
      <c r="I35" s="145" t="str">
        <f t="shared" si="3"/>
        <v xml:space="preserve"> </v>
      </c>
      <c r="J35" s="119"/>
      <c r="M35" s="244">
        <f t="shared" si="4"/>
        <v>0</v>
      </c>
      <c r="N35" s="245"/>
      <c r="O35" s="123"/>
      <c r="P35" s="124"/>
      <c r="Q35" s="123"/>
      <c r="R35" s="124"/>
      <c r="S35" s="125"/>
      <c r="T35" s="124"/>
    </row>
    <row r="36" spans="1:20" ht="24" hidden="1" customHeight="1" x14ac:dyDescent="0.3">
      <c r="A36" s="119"/>
      <c r="B36" s="249"/>
      <c r="C36" s="250"/>
      <c r="D36" s="144" t="str">
        <f t="shared" si="5"/>
        <v xml:space="preserve"> </v>
      </c>
      <c r="E36" s="145" t="str">
        <f t="shared" si="0"/>
        <v xml:space="preserve"> </v>
      </c>
      <c r="F36" s="144" t="str">
        <f t="shared" si="6"/>
        <v xml:space="preserve"> </v>
      </c>
      <c r="G36" s="145" t="str">
        <f t="shared" si="1"/>
        <v xml:space="preserve"> </v>
      </c>
      <c r="H36" s="144" t="str">
        <f t="shared" si="2"/>
        <v xml:space="preserve"> </v>
      </c>
      <c r="I36" s="145" t="str">
        <f t="shared" si="3"/>
        <v xml:space="preserve"> </v>
      </c>
      <c r="J36" s="119"/>
      <c r="M36" s="244">
        <f t="shared" si="4"/>
        <v>0</v>
      </c>
      <c r="N36" s="245"/>
      <c r="O36" s="123"/>
      <c r="P36" s="124"/>
      <c r="Q36" s="123"/>
      <c r="R36" s="124"/>
      <c r="S36" s="125"/>
      <c r="T36" s="124"/>
    </row>
    <row r="37" spans="1:20" ht="24" hidden="1" customHeight="1" x14ac:dyDescent="0.3">
      <c r="A37" s="119"/>
      <c r="B37" s="252"/>
      <c r="C37" s="253"/>
      <c r="D37" s="146" t="str">
        <f t="shared" si="5"/>
        <v xml:space="preserve"> </v>
      </c>
      <c r="E37" s="147" t="str">
        <f t="shared" si="0"/>
        <v xml:space="preserve"> </v>
      </c>
      <c r="F37" s="146" t="str">
        <f t="shared" si="6"/>
        <v xml:space="preserve"> </v>
      </c>
      <c r="G37" s="147" t="str">
        <f t="shared" si="1"/>
        <v xml:space="preserve"> </v>
      </c>
      <c r="H37" s="146" t="str">
        <f t="shared" si="2"/>
        <v xml:space="preserve"> </v>
      </c>
      <c r="I37" s="147" t="str">
        <f t="shared" si="3"/>
        <v xml:space="preserve"> </v>
      </c>
      <c r="J37" s="119"/>
      <c r="M37" s="256">
        <f t="shared" si="4"/>
        <v>0</v>
      </c>
      <c r="N37" s="257"/>
      <c r="O37" s="123"/>
      <c r="P37" s="124"/>
      <c r="Q37" s="123"/>
      <c r="R37" s="124"/>
      <c r="S37" s="125"/>
      <c r="T37" s="124"/>
    </row>
    <row r="38" spans="1:20" ht="24" customHeight="1" thickBot="1" x14ac:dyDescent="0.35">
      <c r="A38" s="119"/>
      <c r="B38" s="246" t="s">
        <v>235</v>
      </c>
      <c r="C38" s="247"/>
      <c r="D38" s="247"/>
      <c r="E38" s="247"/>
      <c r="F38" s="247"/>
      <c r="G38" s="247"/>
      <c r="H38" s="247"/>
      <c r="I38" s="248"/>
      <c r="J38" s="119"/>
      <c r="M38" s="331" t="s">
        <v>235</v>
      </c>
      <c r="N38" s="332"/>
      <c r="O38" s="332"/>
      <c r="P38" s="332"/>
      <c r="Q38" s="332"/>
      <c r="R38" s="332"/>
      <c r="S38" s="332"/>
      <c r="T38" s="333"/>
    </row>
    <row r="39" spans="1:20" ht="24" customHeight="1" x14ac:dyDescent="0.3">
      <c r="A39" s="119"/>
      <c r="B39" s="317" t="s">
        <v>213</v>
      </c>
      <c r="C39" s="318"/>
      <c r="D39" s="148">
        <f t="shared" ref="D39:D48" si="13">IF(COUNTIFS(SKT모델명,$B39,SKT요금제,$D$16)=1,
SUMIFS(SKT번이구매가,SKT모델명,$B39,SKT요금제,$D$16)," ")</f>
        <v>40</v>
      </c>
      <c r="E39" s="149">
        <f t="shared" ref="E39:E48" si="14">IF(COUNTIFS(SKT모델명,$B39,SKT요금제,$D$16)=1,
SUMIFS(SKT기변구매가,SKT모델명,$B39,SKT요금제,$D$16)," ")</f>
        <v>64</v>
      </c>
      <c r="F39" s="148">
        <f t="shared" ref="F39:F48" si="15">IF(COUNTIFS(KT모델명,$B39,KT요금제,$F$16)=1,
SUMIFS(KT번이구매가,KT모델명,$B39,KT요금제,$F$16)," ")</f>
        <v>15</v>
      </c>
      <c r="G39" s="149">
        <f t="shared" ref="G39:G48" si="16">IF(COUNTIFS(KT모델명,$B39,KT요금제,$F$16)=1,
SUMIFS(KT기변구매가,KT모델명,$B39,KT요금제,$F$16)," ")</f>
        <v>37</v>
      </c>
      <c r="H39" s="148">
        <f t="shared" ref="H39:H48" si="17">IF(COUNTIFS(LG모델명,$B39,LG요금제,$H$16)=1,
SUMIFS(LG번이구매가,LG모델명,$B39,LG요금제,$H$16)," ")</f>
        <v>11</v>
      </c>
      <c r="I39" s="149">
        <f t="shared" ref="I39:I48" si="18">IF(COUNTIFS(LG모델명,$B39,LG요금제,$H$16)=1,
SUMIFS(LG기변구매가,LG모델명,$B39,LG요금제,$H$16)," ")</f>
        <v>50</v>
      </c>
      <c r="J39" s="119"/>
      <c r="M39" s="443" t="str">
        <f t="shared" si="4"/>
        <v>아이폰17_256G</v>
      </c>
      <c r="N39" s="444"/>
      <c r="O39" s="134"/>
      <c r="P39" s="135" t="s">
        <v>236</v>
      </c>
      <c r="Q39" s="134"/>
      <c r="R39" s="135"/>
      <c r="S39" s="136"/>
      <c r="T39" s="135" t="s">
        <v>365</v>
      </c>
    </row>
    <row r="40" spans="1:20" ht="24" customHeight="1" x14ac:dyDescent="0.3">
      <c r="A40" s="119"/>
      <c r="B40" s="249" t="s">
        <v>214</v>
      </c>
      <c r="C40" s="250"/>
      <c r="D40" s="148">
        <f t="shared" si="13"/>
        <v>70</v>
      </c>
      <c r="E40" s="149">
        <f t="shared" si="14"/>
        <v>94</v>
      </c>
      <c r="F40" s="148">
        <f t="shared" si="15"/>
        <v>44</v>
      </c>
      <c r="G40" s="149">
        <f t="shared" si="16"/>
        <v>66</v>
      </c>
      <c r="H40" s="148">
        <f t="shared" si="17"/>
        <v>42</v>
      </c>
      <c r="I40" s="149">
        <f t="shared" si="18"/>
        <v>79</v>
      </c>
      <c r="J40" s="119"/>
      <c r="M40" s="244" t="str">
        <f t="shared" si="4"/>
        <v>아이폰17_512G</v>
      </c>
      <c r="N40" s="245"/>
      <c r="O40" s="123"/>
      <c r="P40" s="124" t="s">
        <v>236</v>
      </c>
      <c r="Q40" s="123"/>
      <c r="R40" s="124"/>
      <c r="S40" s="125"/>
      <c r="T40" s="124" t="s">
        <v>365</v>
      </c>
    </row>
    <row r="41" spans="1:20" ht="24" customHeight="1" x14ac:dyDescent="0.3">
      <c r="A41" s="119"/>
      <c r="B41" s="249" t="s">
        <v>215</v>
      </c>
      <c r="C41" s="250"/>
      <c r="D41" s="148">
        <f t="shared" si="13"/>
        <v>65</v>
      </c>
      <c r="E41" s="149">
        <f t="shared" si="14"/>
        <v>82</v>
      </c>
      <c r="F41" s="148">
        <f t="shared" si="15"/>
        <v>46</v>
      </c>
      <c r="G41" s="149">
        <f t="shared" si="16"/>
        <v>68</v>
      </c>
      <c r="H41" s="148">
        <f t="shared" si="17"/>
        <v>-18</v>
      </c>
      <c r="I41" s="149">
        <f t="shared" si="18"/>
        <v>77</v>
      </c>
      <c r="J41" s="119"/>
      <c r="M41" s="244" t="str">
        <f t="shared" si="4"/>
        <v>아이폰에어_256G</v>
      </c>
      <c r="N41" s="245"/>
      <c r="O41" s="123" t="s">
        <v>236</v>
      </c>
      <c r="P41" s="124" t="s">
        <v>236</v>
      </c>
      <c r="Q41" s="123"/>
      <c r="R41" s="124"/>
      <c r="S41" s="125"/>
      <c r="T41" s="124"/>
    </row>
    <row r="42" spans="1:20" ht="24" customHeight="1" x14ac:dyDescent="0.3">
      <c r="A42" s="119"/>
      <c r="B42" s="249" t="s">
        <v>216</v>
      </c>
      <c r="C42" s="250"/>
      <c r="D42" s="148">
        <f t="shared" si="13"/>
        <v>95</v>
      </c>
      <c r="E42" s="149">
        <f t="shared" si="14"/>
        <v>112</v>
      </c>
      <c r="F42" s="148">
        <f t="shared" si="15"/>
        <v>76</v>
      </c>
      <c r="G42" s="149">
        <f t="shared" si="16"/>
        <v>98</v>
      </c>
      <c r="H42" s="148">
        <f t="shared" si="17"/>
        <v>10</v>
      </c>
      <c r="I42" s="149">
        <f t="shared" si="18"/>
        <v>107</v>
      </c>
      <c r="J42" s="119"/>
      <c r="M42" s="244" t="str">
        <f t="shared" si="4"/>
        <v>아이폰에어_512G</v>
      </c>
      <c r="N42" s="245"/>
      <c r="O42" s="123" t="s">
        <v>236</v>
      </c>
      <c r="P42" s="124" t="s">
        <v>236</v>
      </c>
      <c r="Q42" s="123"/>
      <c r="R42" s="124"/>
      <c r="S42" s="125"/>
      <c r="T42" s="124"/>
    </row>
    <row r="43" spans="1:20" ht="24" customHeight="1" x14ac:dyDescent="0.3">
      <c r="A43" s="119"/>
      <c r="B43" s="249" t="s">
        <v>217</v>
      </c>
      <c r="C43" s="250"/>
      <c r="D43" s="148">
        <f t="shared" si="13"/>
        <v>90</v>
      </c>
      <c r="E43" s="149">
        <f t="shared" si="14"/>
        <v>114</v>
      </c>
      <c r="F43" s="148">
        <f t="shared" si="15"/>
        <v>71</v>
      </c>
      <c r="G43" s="149">
        <f t="shared" si="16"/>
        <v>88</v>
      </c>
      <c r="H43" s="148">
        <f t="shared" si="17"/>
        <v>61</v>
      </c>
      <c r="I43" s="149">
        <f t="shared" si="18"/>
        <v>99</v>
      </c>
      <c r="J43" s="119"/>
      <c r="M43" s="244" t="str">
        <f t="shared" si="4"/>
        <v>아이폰17프로_256G</v>
      </c>
      <c r="N43" s="245"/>
      <c r="O43" s="123"/>
      <c r="P43" s="124" t="s">
        <v>236</v>
      </c>
      <c r="Q43" s="123"/>
      <c r="R43" s="124"/>
      <c r="S43" s="125"/>
      <c r="T43" s="124" t="s">
        <v>365</v>
      </c>
    </row>
    <row r="44" spans="1:20" ht="24" customHeight="1" x14ac:dyDescent="0.3">
      <c r="A44" s="119"/>
      <c r="B44" s="249" t="s">
        <v>218</v>
      </c>
      <c r="C44" s="250"/>
      <c r="D44" s="148">
        <f t="shared" si="13"/>
        <v>113</v>
      </c>
      <c r="E44" s="149">
        <f t="shared" si="14"/>
        <v>144</v>
      </c>
      <c r="F44" s="148">
        <f t="shared" si="15"/>
        <v>102</v>
      </c>
      <c r="G44" s="149">
        <f t="shared" si="16"/>
        <v>119</v>
      </c>
      <c r="H44" s="148">
        <f t="shared" si="17"/>
        <v>91</v>
      </c>
      <c r="I44" s="149">
        <f t="shared" si="18"/>
        <v>130</v>
      </c>
      <c r="J44" s="119"/>
      <c r="M44" s="244" t="str">
        <f t="shared" si="4"/>
        <v>아이폰17프로_512G</v>
      </c>
      <c r="N44" s="245"/>
      <c r="O44" s="123"/>
      <c r="P44" s="124" t="s">
        <v>236</v>
      </c>
      <c r="Q44" s="123"/>
      <c r="R44" s="124"/>
      <c r="S44" s="125"/>
      <c r="T44" s="124" t="s">
        <v>365</v>
      </c>
    </row>
    <row r="45" spans="1:20" ht="24" customHeight="1" x14ac:dyDescent="0.3">
      <c r="A45" s="119"/>
      <c r="B45" s="249" t="s">
        <v>219</v>
      </c>
      <c r="C45" s="250"/>
      <c r="D45" s="148">
        <f t="shared" si="13"/>
        <v>130</v>
      </c>
      <c r="E45" s="149">
        <f t="shared" si="14"/>
        <v>174</v>
      </c>
      <c r="F45" s="148">
        <f t="shared" si="15"/>
        <v>116</v>
      </c>
      <c r="G45" s="149">
        <f t="shared" si="16"/>
        <v>133</v>
      </c>
      <c r="H45" s="148">
        <f t="shared" si="17"/>
        <v>115</v>
      </c>
      <c r="I45" s="149">
        <f t="shared" si="18"/>
        <v>146</v>
      </c>
      <c r="J45" s="119"/>
      <c r="M45" s="244" t="str">
        <f t="shared" si="4"/>
        <v>아이폰17프로맥스_256G</v>
      </c>
      <c r="N45" s="245"/>
      <c r="O45" s="123"/>
      <c r="P45" s="124" t="s">
        <v>236</v>
      </c>
      <c r="Q45" s="123"/>
      <c r="R45" s="124"/>
      <c r="S45" s="125"/>
      <c r="T45" s="124"/>
    </row>
    <row r="46" spans="1:20" ht="24" customHeight="1" x14ac:dyDescent="0.3">
      <c r="A46" s="119"/>
      <c r="B46" s="249" t="s">
        <v>220</v>
      </c>
      <c r="C46" s="250"/>
      <c r="D46" s="148">
        <f t="shared" si="13"/>
        <v>161</v>
      </c>
      <c r="E46" s="149">
        <f t="shared" si="14"/>
        <v>205</v>
      </c>
      <c r="F46" s="148">
        <f t="shared" si="15"/>
        <v>147</v>
      </c>
      <c r="G46" s="149">
        <f t="shared" si="16"/>
        <v>164</v>
      </c>
      <c r="H46" s="148">
        <f t="shared" si="17"/>
        <v>146</v>
      </c>
      <c r="I46" s="149">
        <f t="shared" si="18"/>
        <v>177</v>
      </c>
      <c r="J46" s="119"/>
      <c r="M46" s="244" t="str">
        <f t="shared" si="4"/>
        <v>아이폰17프로맥스_512G</v>
      </c>
      <c r="N46" s="245"/>
      <c r="O46" s="123"/>
      <c r="P46" s="124" t="s">
        <v>236</v>
      </c>
      <c r="Q46" s="123"/>
      <c r="R46" s="124"/>
      <c r="S46" s="125"/>
      <c r="T46" s="124"/>
    </row>
    <row r="47" spans="1:20" ht="24" hidden="1" customHeight="1" x14ac:dyDescent="0.3">
      <c r="A47" s="119"/>
      <c r="B47" s="249" t="s">
        <v>221</v>
      </c>
      <c r="C47" s="250"/>
      <c r="D47" s="148" t="str">
        <f t="shared" si="13"/>
        <v xml:space="preserve"> </v>
      </c>
      <c r="E47" s="149" t="str">
        <f t="shared" si="14"/>
        <v xml:space="preserve"> </v>
      </c>
      <c r="F47" s="148" t="str">
        <f t="shared" si="15"/>
        <v xml:space="preserve"> </v>
      </c>
      <c r="G47" s="149" t="str">
        <f t="shared" si="16"/>
        <v xml:space="preserve"> </v>
      </c>
      <c r="H47" s="148">
        <f t="shared" si="17"/>
        <v>-5</v>
      </c>
      <c r="I47" s="149">
        <f t="shared" si="18"/>
        <v>45</v>
      </c>
      <c r="J47" s="119"/>
      <c r="M47" s="244" t="str">
        <f t="shared" si="4"/>
        <v>아이폰16_128G</v>
      </c>
      <c r="N47" s="245"/>
      <c r="O47" s="123"/>
      <c r="P47" s="124"/>
      <c r="Q47" s="123"/>
      <c r="R47" s="124"/>
      <c r="S47" s="125"/>
      <c r="T47" s="124"/>
    </row>
    <row r="48" spans="1:20" ht="24" hidden="1" customHeight="1" x14ac:dyDescent="0.3">
      <c r="A48" s="119"/>
      <c r="B48" s="249" t="s">
        <v>222</v>
      </c>
      <c r="C48" s="250"/>
      <c r="D48" s="148" t="str">
        <f t="shared" si="13"/>
        <v xml:space="preserve"> </v>
      </c>
      <c r="E48" s="149" t="str">
        <f t="shared" si="14"/>
        <v xml:space="preserve"> </v>
      </c>
      <c r="F48" s="148" t="str">
        <f t="shared" si="15"/>
        <v xml:space="preserve"> </v>
      </c>
      <c r="G48" s="149" t="str">
        <f t="shared" si="16"/>
        <v xml:space="preserve"> </v>
      </c>
      <c r="H48" s="148">
        <f t="shared" si="17"/>
        <v>8</v>
      </c>
      <c r="I48" s="149">
        <f t="shared" si="18"/>
        <v>60</v>
      </c>
      <c r="J48" s="119"/>
      <c r="M48" s="244" t="str">
        <f t="shared" si="4"/>
        <v>아이폰16_256G</v>
      </c>
      <c r="N48" s="245"/>
      <c r="O48" s="123"/>
      <c r="P48" s="124"/>
      <c r="Q48" s="123"/>
      <c r="R48" s="124"/>
      <c r="S48" s="125"/>
      <c r="T48" s="124"/>
    </row>
    <row r="49" spans="1:20" ht="24" hidden="1" customHeight="1" x14ac:dyDescent="0.3">
      <c r="A49" s="119"/>
      <c r="B49" s="249" t="s">
        <v>223</v>
      </c>
      <c r="C49" s="250"/>
      <c r="D49" s="144" t="str">
        <f t="shared" ref="D49:D55" si="19">IF(COUNTIFS(SKT모델명,$B49,SKT요금제,$D$6)=1,
SUMIFS(SKT번이구매가,SKT모델명,$B49,SKT요금제,$D$6)," ")</f>
        <v xml:space="preserve"> </v>
      </c>
      <c r="E49" s="145" t="str">
        <f t="shared" ref="E49:E55" si="20">IF(COUNTIFS(SKT모델명,$B49,SKT요금제,$D$6)=1,
SUMIFS(SKT기변구매가,SKT모델명,$B49,SKT요금제,$D$6)," ")</f>
        <v xml:space="preserve"> </v>
      </c>
      <c r="F49" s="144" t="str">
        <f t="shared" ref="F49:F55" si="21">IF(COUNTIFS(KT모델명,$B49,KT요금제,$F$6)=1,
SUMIFS(KT번이구매가,KT모델명,$B49,KT요금제,$F$6)," ")</f>
        <v xml:space="preserve"> </v>
      </c>
      <c r="G49" s="145" t="str">
        <f t="shared" ref="G49:G55" si="22">IF(COUNTIFS(KT모델명,$B49,KT요금제,$F$6)=1,
SUMIFS(KT기변구매가,KT모델명,$B49,KT요금제,$F$6)," ")</f>
        <v xml:space="preserve"> </v>
      </c>
      <c r="H49" s="144">
        <f t="shared" ref="H49:H55" si="23">IF(COUNTIFS(LG모델명,$B49,LG요금제,$H$6)=1,
SUMIFS(LG번이구매가,LG모델명,$B49,LG요금제,$H$6)," ")</f>
        <v>24</v>
      </c>
      <c r="I49" s="145">
        <f t="shared" ref="I49:I55" si="24">IF(COUNTIFS(LG모델명,$B49,LG요금제,$H$6)=1,
SUMIFS(LG기변구매가,LG모델명,$B49,LG요금제,$H$6)," ")</f>
        <v>74</v>
      </c>
      <c r="J49" s="119"/>
      <c r="M49" s="244" t="str">
        <f t="shared" si="4"/>
        <v>아이폰16프로_128G</v>
      </c>
      <c r="N49" s="245"/>
      <c r="O49" s="123"/>
      <c r="P49" s="124"/>
      <c r="Q49" s="123"/>
      <c r="R49" s="124"/>
      <c r="S49" s="125"/>
      <c r="T49" s="124"/>
    </row>
    <row r="50" spans="1:20" ht="24" hidden="1" customHeight="1" x14ac:dyDescent="0.3">
      <c r="A50" s="119"/>
      <c r="B50" s="249"/>
      <c r="C50" s="250"/>
      <c r="D50" s="144" t="str">
        <f t="shared" si="19"/>
        <v xml:space="preserve"> </v>
      </c>
      <c r="E50" s="145" t="str">
        <f t="shared" si="20"/>
        <v xml:space="preserve"> </v>
      </c>
      <c r="F50" s="144" t="str">
        <f t="shared" si="21"/>
        <v xml:space="preserve"> </v>
      </c>
      <c r="G50" s="145" t="str">
        <f t="shared" si="22"/>
        <v xml:space="preserve"> </v>
      </c>
      <c r="H50" s="144" t="str">
        <f t="shared" si="23"/>
        <v xml:space="preserve"> </v>
      </c>
      <c r="I50" s="145" t="str">
        <f t="shared" si="24"/>
        <v xml:space="preserve"> </v>
      </c>
      <c r="J50" s="119"/>
      <c r="M50" s="244">
        <f t="shared" si="4"/>
        <v>0</v>
      </c>
      <c r="N50" s="245"/>
      <c r="O50" s="123"/>
      <c r="P50" s="124"/>
      <c r="Q50" s="123"/>
      <c r="R50" s="124"/>
      <c r="S50" s="125"/>
      <c r="T50" s="124"/>
    </row>
    <row r="51" spans="1:20" ht="24" hidden="1" customHeight="1" x14ac:dyDescent="0.3">
      <c r="A51" s="119"/>
      <c r="B51" s="249"/>
      <c r="C51" s="250"/>
      <c r="D51" s="144" t="str">
        <f t="shared" si="19"/>
        <v xml:space="preserve"> </v>
      </c>
      <c r="E51" s="145" t="str">
        <f t="shared" si="20"/>
        <v xml:space="preserve"> </v>
      </c>
      <c r="F51" s="144" t="str">
        <f t="shared" si="21"/>
        <v xml:space="preserve"> </v>
      </c>
      <c r="G51" s="145" t="str">
        <f t="shared" si="22"/>
        <v xml:space="preserve"> </v>
      </c>
      <c r="H51" s="144" t="str">
        <f t="shared" si="23"/>
        <v xml:space="preserve"> </v>
      </c>
      <c r="I51" s="145" t="str">
        <f t="shared" si="24"/>
        <v xml:space="preserve"> </v>
      </c>
      <c r="J51" s="119"/>
      <c r="M51" s="244">
        <f t="shared" si="4"/>
        <v>0</v>
      </c>
      <c r="N51" s="245"/>
      <c r="O51" s="123"/>
      <c r="P51" s="124"/>
      <c r="Q51" s="123"/>
      <c r="R51" s="124"/>
      <c r="S51" s="125"/>
      <c r="T51" s="124"/>
    </row>
    <row r="52" spans="1:20" ht="24" hidden="1" customHeight="1" x14ac:dyDescent="0.3">
      <c r="A52" s="119"/>
      <c r="B52" s="249"/>
      <c r="C52" s="250"/>
      <c r="D52" s="144" t="str">
        <f t="shared" si="19"/>
        <v xml:space="preserve"> </v>
      </c>
      <c r="E52" s="145" t="str">
        <f t="shared" si="20"/>
        <v xml:space="preserve"> </v>
      </c>
      <c r="F52" s="144" t="str">
        <f t="shared" si="21"/>
        <v xml:space="preserve"> </v>
      </c>
      <c r="G52" s="145" t="str">
        <f t="shared" si="22"/>
        <v xml:space="preserve"> </v>
      </c>
      <c r="H52" s="144" t="str">
        <f t="shared" si="23"/>
        <v xml:space="preserve"> </v>
      </c>
      <c r="I52" s="145" t="str">
        <f t="shared" si="24"/>
        <v xml:space="preserve"> </v>
      </c>
      <c r="J52" s="119"/>
      <c r="M52" s="244">
        <f t="shared" si="4"/>
        <v>0</v>
      </c>
      <c r="N52" s="245"/>
      <c r="O52" s="123"/>
      <c r="P52" s="124"/>
      <c r="Q52" s="123"/>
      <c r="R52" s="124"/>
      <c r="S52" s="125"/>
      <c r="T52" s="124"/>
    </row>
    <row r="53" spans="1:20" ht="24" hidden="1" customHeight="1" x14ac:dyDescent="0.3">
      <c r="A53" s="119"/>
      <c r="B53" s="249"/>
      <c r="C53" s="250"/>
      <c r="D53" s="144" t="str">
        <f t="shared" si="19"/>
        <v xml:space="preserve"> </v>
      </c>
      <c r="E53" s="145" t="str">
        <f t="shared" si="20"/>
        <v xml:space="preserve"> </v>
      </c>
      <c r="F53" s="144" t="str">
        <f t="shared" si="21"/>
        <v xml:space="preserve"> </v>
      </c>
      <c r="G53" s="145" t="str">
        <f t="shared" si="22"/>
        <v xml:space="preserve"> </v>
      </c>
      <c r="H53" s="144" t="str">
        <f t="shared" si="23"/>
        <v xml:space="preserve"> </v>
      </c>
      <c r="I53" s="145" t="str">
        <f t="shared" si="24"/>
        <v xml:space="preserve"> </v>
      </c>
      <c r="J53" s="119"/>
      <c r="M53" s="244">
        <f t="shared" si="4"/>
        <v>0</v>
      </c>
      <c r="N53" s="245"/>
      <c r="O53" s="123"/>
      <c r="P53" s="124"/>
      <c r="Q53" s="123"/>
      <c r="R53" s="124"/>
      <c r="S53" s="125"/>
      <c r="T53" s="124"/>
    </row>
    <row r="54" spans="1:20" ht="24" hidden="1" customHeight="1" x14ac:dyDescent="0.3">
      <c r="A54" s="119"/>
      <c r="B54" s="249"/>
      <c r="C54" s="250"/>
      <c r="D54" s="144" t="str">
        <f t="shared" si="19"/>
        <v xml:space="preserve"> </v>
      </c>
      <c r="E54" s="145" t="str">
        <f t="shared" si="20"/>
        <v xml:space="preserve"> </v>
      </c>
      <c r="F54" s="144" t="str">
        <f t="shared" si="21"/>
        <v xml:space="preserve"> </v>
      </c>
      <c r="G54" s="145" t="str">
        <f t="shared" si="22"/>
        <v xml:space="preserve"> </v>
      </c>
      <c r="H54" s="144" t="str">
        <f t="shared" si="23"/>
        <v xml:space="preserve"> </v>
      </c>
      <c r="I54" s="145" t="str">
        <f t="shared" si="24"/>
        <v xml:space="preserve"> </v>
      </c>
      <c r="J54" s="119"/>
      <c r="M54" s="244">
        <f t="shared" si="4"/>
        <v>0</v>
      </c>
      <c r="N54" s="245"/>
      <c r="O54" s="123"/>
      <c r="P54" s="124"/>
      <c r="Q54" s="123"/>
      <c r="R54" s="124"/>
      <c r="S54" s="125"/>
      <c r="T54" s="124"/>
    </row>
    <row r="55" spans="1:20" ht="24" hidden="1" customHeight="1" x14ac:dyDescent="0.3">
      <c r="A55" s="119"/>
      <c r="B55" s="240"/>
      <c r="C55" s="241"/>
      <c r="D55" s="146" t="str">
        <f t="shared" si="19"/>
        <v xml:space="preserve"> </v>
      </c>
      <c r="E55" s="147" t="str">
        <f t="shared" si="20"/>
        <v xml:space="preserve"> </v>
      </c>
      <c r="F55" s="146" t="str">
        <f t="shared" si="21"/>
        <v xml:space="preserve"> </v>
      </c>
      <c r="G55" s="147" t="str">
        <f t="shared" si="22"/>
        <v xml:space="preserve"> </v>
      </c>
      <c r="H55" s="146" t="str">
        <f t="shared" si="23"/>
        <v xml:space="preserve"> </v>
      </c>
      <c r="I55" s="147" t="str">
        <f t="shared" si="24"/>
        <v xml:space="preserve"> </v>
      </c>
      <c r="J55" s="119"/>
      <c r="M55" s="336">
        <f t="shared" si="4"/>
        <v>0</v>
      </c>
      <c r="N55" s="337"/>
      <c r="O55" s="123"/>
      <c r="P55" s="124"/>
      <c r="Q55" s="123"/>
      <c r="R55" s="124"/>
      <c r="S55" s="125"/>
      <c r="T55" s="124"/>
    </row>
    <row r="56" spans="1:20" ht="30.6" customHeight="1" x14ac:dyDescent="0.3">
      <c r="A56" s="119"/>
      <c r="B56" s="171"/>
      <c r="C56" s="172" t="s">
        <v>246</v>
      </c>
      <c r="D56" s="251" t="s">
        <v>288</v>
      </c>
      <c r="E56" s="251"/>
      <c r="F56" s="325" t="s">
        <v>92</v>
      </c>
      <c r="G56" s="325"/>
      <c r="H56" s="276" t="s">
        <v>288</v>
      </c>
      <c r="I56" s="277"/>
      <c r="J56" s="119"/>
      <c r="M56" s="234" t="str">
        <f>C56</f>
        <v>개봉폰 특가</v>
      </c>
      <c r="N56" s="236"/>
      <c r="O56" s="254" t="s">
        <v>39</v>
      </c>
      <c r="P56" s="254"/>
      <c r="Q56" s="255" t="s">
        <v>62</v>
      </c>
      <c r="R56" s="255"/>
      <c r="S56" s="334" t="s">
        <v>224</v>
      </c>
      <c r="T56" s="335"/>
    </row>
    <row r="57" spans="1:20" ht="22.5" customHeight="1" x14ac:dyDescent="0.3">
      <c r="A57" s="119"/>
      <c r="B57" s="242" t="s">
        <v>322</v>
      </c>
      <c r="C57" s="243"/>
      <c r="D57" s="137" t="s">
        <v>5</v>
      </c>
      <c r="E57" s="138" t="s">
        <v>7</v>
      </c>
      <c r="F57" s="137" t="s">
        <v>227</v>
      </c>
      <c r="G57" s="138" t="s">
        <v>226</v>
      </c>
      <c r="H57" s="139" t="s">
        <v>228</v>
      </c>
      <c r="I57" s="138" t="s">
        <v>229</v>
      </c>
      <c r="J57" s="119"/>
      <c r="M57" s="329"/>
      <c r="N57" s="330"/>
      <c r="O57" s="140" t="s">
        <v>4</v>
      </c>
      <c r="P57" s="133" t="s">
        <v>6</v>
      </c>
      <c r="Q57" s="140" t="s">
        <v>5</v>
      </c>
      <c r="R57" s="133" t="s">
        <v>7</v>
      </c>
      <c r="S57" s="141" t="s">
        <v>5</v>
      </c>
      <c r="T57" s="133" t="s">
        <v>7</v>
      </c>
    </row>
    <row r="58" spans="1:20" ht="24" hidden="1" customHeight="1" x14ac:dyDescent="0.3">
      <c r="A58" s="119"/>
      <c r="B58" s="258" t="s">
        <v>238</v>
      </c>
      <c r="C58" s="259"/>
      <c r="D58" s="148" t="str">
        <f t="shared" ref="D58:E70" si="25">IF(COUNTIFS(SKT모델명,$B58,SKT요금제,$D$56)=1,
SUMIFS(SKT번이구매가,SKT모델명,$B58,SKT요금제,$D$56)," ")</f>
        <v xml:space="preserve"> </v>
      </c>
      <c r="E58" s="149" t="str">
        <f t="shared" si="25"/>
        <v xml:space="preserve"> </v>
      </c>
      <c r="F58" s="148">
        <f t="shared" ref="F58:G70" si="26">IF(COUNTIFS(KT모델명,$B58,KT요금제,$F$56)=1,
SUMIFS(KT번이구매가,KT모델명,$B58,KT요금제,$F$56)," ")</f>
        <v>-22</v>
      </c>
      <c r="G58" s="149">
        <f t="shared" si="26"/>
        <v>-22</v>
      </c>
      <c r="H58" s="148" t="str">
        <f t="shared" ref="H58:I70" si="27">IF(COUNTIFS(LG모델명,$B58,LG요금제,$H$56)=1,
SUMIFS(LG번이구매가,LG모델명,$B58,LG요금제,$H$56)," ")</f>
        <v xml:space="preserve"> </v>
      </c>
      <c r="I58" s="149" t="str">
        <f t="shared" si="27"/>
        <v xml:space="preserve"> </v>
      </c>
      <c r="J58" s="119"/>
      <c r="M58" s="338" t="str">
        <f t="shared" si="4"/>
        <v>갤럭시S25(개봉)</v>
      </c>
      <c r="N58" s="339"/>
      <c r="O58" s="121" t="str" cm="1">
        <f t="array" ref="O58">IFERROR(INDEX(SKT번이구매가,MATCH(1,(SKT요금제=$D$6)*(SKT모델명=$B58),0)),"")</f>
        <v/>
      </c>
      <c r="P58" s="122" t="str" cm="1">
        <f t="array" ref="P58">IFERROR(INDEX(SKT번이구매가,MATCH(1,(SKT요금제=$D$6)*(SKT모델명=$B58),0)),"")</f>
        <v/>
      </c>
      <c r="Q58" s="121" cm="1">
        <f t="array" ref="Q58">IFERROR(INDEX(KT번이구매가,MATCH(1,(KT요금제=$F$56)*(KT모델명=$B58),0)),"")</f>
        <v>-22</v>
      </c>
      <c r="R58" s="122"/>
      <c r="S58" s="120" t="str" cm="1">
        <f t="array" ref="S58">IFERROR(INDEX(LG번이구매가,MATCH(1,(LG요금제=$H$6)*(LG모델명=$B58),0)),"")</f>
        <v/>
      </c>
      <c r="T58" s="122" t="str" cm="1">
        <f t="array" ref="T58">IFERROR(INDEX(LG번이구매가,MATCH(1,(LG요금제=$H$6)*(LG모델명=$B58),0)),"")</f>
        <v/>
      </c>
    </row>
    <row r="59" spans="1:20" ht="24" customHeight="1" x14ac:dyDescent="0.3">
      <c r="A59" s="119"/>
      <c r="B59" s="249" t="s">
        <v>238</v>
      </c>
      <c r="C59" s="250"/>
      <c r="D59" s="144" t="str">
        <f t="shared" si="25"/>
        <v xml:space="preserve"> </v>
      </c>
      <c r="E59" s="145" t="str">
        <f>IF(COUNTIFS(SKT모델명,$B59,SKT요금제,$D$56)=1,
SUMIFS(SKT기변구매가,SKT모델명,$B59,SKT요금제,$D$56)," ")</f>
        <v xml:space="preserve"> </v>
      </c>
      <c r="F59" s="231">
        <f>IF(COUNTIFS(KT모델명,$B59,KT요금제,$F$56)=1,
SUMIFS(KT번이구매가,KT모델명,$B59,KT요금제,$F$56)," ")</f>
        <v>-22</v>
      </c>
      <c r="G59" s="145">
        <f t="shared" ref="G59:G70" si="28">IF(COUNTIFS(KT모델명,$B59,KT요금제,$F$56)=1,
SUMIFS(KT기변구매가,KT모델명,$B59,KT요금제,$F$56)," ")</f>
        <v>-19</v>
      </c>
      <c r="H59" s="144" t="str">
        <f t="shared" si="27"/>
        <v xml:space="preserve"> </v>
      </c>
      <c r="I59" s="145" t="str">
        <f>IF(COUNTIFS(LG모델명,$B59,LG요금제,$H$56)=1,
SUMIFS(LG기변구매가,LG모델명,$B59,LG요금제,$H$56)," ")</f>
        <v xml:space="preserve"> </v>
      </c>
      <c r="J59" s="119"/>
      <c r="M59" s="244" t="str">
        <f t="shared" si="4"/>
        <v>갤럭시S25(개봉)</v>
      </c>
      <c r="N59" s="245"/>
      <c r="O59" s="123" t="str" cm="1">
        <f t="array" ref="O59">IFERROR(INDEX(SKT번이구매가,MATCH(1,(SKT요금제=$D$6)*(SKT모델명=$B59),0)),"")</f>
        <v/>
      </c>
      <c r="P59" s="124" t="str" cm="1">
        <f t="array" ref="P59">IFERROR(INDEX(SKT번이구매가,MATCH(1,(SKT요금제=$D$6)*(SKT모델명=$B59),0)),"")</f>
        <v/>
      </c>
      <c r="Q59" s="123"/>
      <c r="R59" s="124"/>
      <c r="S59" s="125" t="str" cm="1">
        <f t="array" ref="S59">IFERROR(INDEX(LG번이구매가,MATCH(1,(LG요금제=$H$6)*(LG모델명=$B59),0)),"")</f>
        <v/>
      </c>
      <c r="T59" s="124" t="str" cm="1">
        <f t="array" ref="T59">IFERROR(INDEX(LG번이구매가,MATCH(1,(LG요금제=$H$6)*(LG모델명=$B59),0)),"")</f>
        <v/>
      </c>
    </row>
    <row r="60" spans="1:20" ht="24" customHeight="1" x14ac:dyDescent="0.3">
      <c r="A60" s="119"/>
      <c r="B60" s="249" t="s">
        <v>309</v>
      </c>
      <c r="C60" s="250"/>
      <c r="D60" s="144" t="str">
        <f t="shared" si="25"/>
        <v xml:space="preserve"> </v>
      </c>
      <c r="E60" s="145" t="str">
        <f>IF(COUNTIFS(SKT모델명,$B60,SKT요금제,$D$56)=1,
SUMIFS(SKT기변구매가,SKT모델명,$B60,SKT요금제,$D$56)," ")</f>
        <v xml:space="preserve"> </v>
      </c>
      <c r="F60" s="144">
        <f t="shared" si="26"/>
        <v>-8</v>
      </c>
      <c r="G60" s="145">
        <f t="shared" si="28"/>
        <v>-7</v>
      </c>
      <c r="H60" s="144" t="str">
        <f t="shared" si="27"/>
        <v xml:space="preserve"> </v>
      </c>
      <c r="I60" s="145" t="str">
        <f>IF(COUNTIFS(LG모델명,$B60,LG요금제,$H$56)=1,
SUMIFS(LG기변구매가,LG모델명,$B60,LG요금제,$H$56)," ")</f>
        <v xml:space="preserve"> </v>
      </c>
      <c r="J60" s="119"/>
      <c r="M60" s="244" t="str">
        <f t="shared" si="4"/>
        <v>갤럭시S25+(개봉)</v>
      </c>
      <c r="N60" s="245"/>
      <c r="O60" s="123"/>
      <c r="P60" s="124"/>
      <c r="Q60" s="123"/>
      <c r="R60" s="124"/>
      <c r="S60" s="125"/>
      <c r="T60" s="124"/>
    </row>
    <row r="61" spans="1:20" ht="24" customHeight="1" x14ac:dyDescent="0.3">
      <c r="A61" s="119"/>
      <c r="B61" s="249" t="s">
        <v>239</v>
      </c>
      <c r="C61" s="250"/>
      <c r="D61" s="144" t="str">
        <f t="shared" si="25"/>
        <v xml:space="preserve"> </v>
      </c>
      <c r="E61" s="145" t="str">
        <f t="shared" si="25"/>
        <v xml:space="preserve"> </v>
      </c>
      <c r="F61" s="144">
        <f t="shared" si="26"/>
        <v>25</v>
      </c>
      <c r="G61" s="145">
        <f t="shared" si="28"/>
        <v>28</v>
      </c>
      <c r="H61" s="144" t="str">
        <f t="shared" si="27"/>
        <v xml:space="preserve"> </v>
      </c>
      <c r="I61" s="145" t="str">
        <f t="shared" si="27"/>
        <v xml:space="preserve"> </v>
      </c>
      <c r="J61" s="119"/>
      <c r="M61" s="244" t="str">
        <f t="shared" si="4"/>
        <v>갤럭시S25울트라(개봉)</v>
      </c>
      <c r="N61" s="245"/>
      <c r="O61" s="123"/>
      <c r="P61" s="124"/>
      <c r="Q61" s="123"/>
      <c r="R61" s="124"/>
      <c r="S61" s="125"/>
      <c r="T61" s="124"/>
    </row>
    <row r="62" spans="1:20" ht="24" customHeight="1" x14ac:dyDescent="0.3">
      <c r="A62" s="119"/>
      <c r="B62" s="249" t="s">
        <v>167</v>
      </c>
      <c r="C62" s="250"/>
      <c r="D62" s="144" t="str">
        <f t="shared" si="25"/>
        <v xml:space="preserve"> </v>
      </c>
      <c r="E62" s="145" t="str">
        <f t="shared" si="25"/>
        <v xml:space="preserve"> </v>
      </c>
      <c r="F62" s="144">
        <f t="shared" si="26"/>
        <v>6</v>
      </c>
      <c r="G62" s="145">
        <f t="shared" si="28"/>
        <v>15</v>
      </c>
      <c r="H62" s="144" t="str">
        <f t="shared" si="27"/>
        <v xml:space="preserve"> </v>
      </c>
      <c r="I62" s="145" t="str">
        <f t="shared" si="27"/>
        <v xml:space="preserve"> </v>
      </c>
      <c r="J62" s="119"/>
      <c r="M62" s="244" t="str">
        <f t="shared" si="4"/>
        <v>갤럭시S25엣지(개봉)</v>
      </c>
      <c r="N62" s="245"/>
      <c r="O62" s="123"/>
      <c r="P62" s="124"/>
      <c r="Q62" s="123"/>
      <c r="R62" s="124"/>
      <c r="S62" s="125"/>
      <c r="T62" s="124"/>
    </row>
    <row r="63" spans="1:20" ht="24" hidden="1" customHeight="1" x14ac:dyDescent="0.3">
      <c r="A63" s="119"/>
      <c r="B63" s="249"/>
      <c r="C63" s="250"/>
      <c r="D63" s="144" t="str">
        <f t="shared" si="25"/>
        <v xml:space="preserve"> </v>
      </c>
      <c r="E63" s="145" t="str">
        <f t="shared" si="25"/>
        <v xml:space="preserve"> </v>
      </c>
      <c r="F63" s="144" t="str">
        <f t="shared" si="26"/>
        <v xml:space="preserve"> </v>
      </c>
      <c r="G63" s="145" t="str">
        <f t="shared" si="28"/>
        <v xml:space="preserve"> </v>
      </c>
      <c r="H63" s="144" t="str">
        <f t="shared" si="27"/>
        <v xml:space="preserve"> </v>
      </c>
      <c r="I63" s="145" t="str">
        <f t="shared" si="27"/>
        <v xml:space="preserve"> </v>
      </c>
      <c r="J63" s="119"/>
      <c r="M63" s="244">
        <f t="shared" si="4"/>
        <v>0</v>
      </c>
      <c r="N63" s="245"/>
      <c r="O63" s="123"/>
      <c r="P63" s="124"/>
      <c r="Q63" s="123"/>
      <c r="R63" s="124"/>
      <c r="S63" s="125"/>
      <c r="T63" s="124"/>
    </row>
    <row r="64" spans="1:20" ht="24" hidden="1" customHeight="1" x14ac:dyDescent="0.3">
      <c r="A64" s="119"/>
      <c r="B64" s="249"/>
      <c r="C64" s="250"/>
      <c r="D64" s="144" t="str">
        <f t="shared" si="25"/>
        <v xml:space="preserve"> </v>
      </c>
      <c r="E64" s="145" t="str">
        <f t="shared" si="25"/>
        <v xml:space="preserve"> </v>
      </c>
      <c r="F64" s="144" t="str">
        <f t="shared" si="26"/>
        <v xml:space="preserve"> </v>
      </c>
      <c r="G64" s="145" t="str">
        <f t="shared" si="28"/>
        <v xml:space="preserve"> </v>
      </c>
      <c r="H64" s="144" t="str">
        <f t="shared" si="27"/>
        <v xml:space="preserve"> </v>
      </c>
      <c r="I64" s="145" t="str">
        <f t="shared" si="27"/>
        <v xml:space="preserve"> </v>
      </c>
      <c r="J64" s="119"/>
      <c r="M64" s="244">
        <f t="shared" si="4"/>
        <v>0</v>
      </c>
      <c r="N64" s="245"/>
      <c r="O64" s="123"/>
      <c r="P64" s="124"/>
      <c r="Q64" s="123"/>
      <c r="R64" s="124"/>
      <c r="S64" s="125"/>
      <c r="T64" s="124"/>
    </row>
    <row r="65" spans="1:28" ht="24" hidden="1" customHeight="1" x14ac:dyDescent="0.3">
      <c r="A65" s="119"/>
      <c r="B65" s="249"/>
      <c r="C65" s="250"/>
      <c r="D65" s="144" t="str">
        <f t="shared" si="25"/>
        <v xml:space="preserve"> </v>
      </c>
      <c r="E65" s="145" t="str">
        <f t="shared" si="25"/>
        <v xml:space="preserve"> </v>
      </c>
      <c r="F65" s="144" t="str">
        <f t="shared" si="26"/>
        <v xml:space="preserve"> </v>
      </c>
      <c r="G65" s="145" t="str">
        <f t="shared" si="28"/>
        <v xml:space="preserve"> </v>
      </c>
      <c r="H65" s="144" t="str">
        <f t="shared" si="27"/>
        <v xml:space="preserve"> </v>
      </c>
      <c r="I65" s="145" t="str">
        <f t="shared" si="27"/>
        <v xml:space="preserve"> </v>
      </c>
      <c r="J65" s="119"/>
      <c r="M65" s="244">
        <f t="shared" si="4"/>
        <v>0</v>
      </c>
      <c r="N65" s="245"/>
      <c r="O65" s="123"/>
      <c r="P65" s="124"/>
      <c r="Q65" s="123"/>
      <c r="R65" s="124"/>
      <c r="S65" s="125"/>
      <c r="T65" s="124"/>
    </row>
    <row r="66" spans="1:28" ht="24" hidden="1" customHeight="1" x14ac:dyDescent="0.3">
      <c r="A66" s="119"/>
      <c r="B66" s="249"/>
      <c r="C66" s="250"/>
      <c r="D66" s="144" t="str">
        <f t="shared" si="25"/>
        <v xml:space="preserve"> </v>
      </c>
      <c r="E66" s="145" t="str">
        <f t="shared" si="25"/>
        <v xml:space="preserve"> </v>
      </c>
      <c r="F66" s="144" t="str">
        <f t="shared" si="26"/>
        <v xml:space="preserve"> </v>
      </c>
      <c r="G66" s="145" t="str">
        <f t="shared" si="28"/>
        <v xml:space="preserve"> </v>
      </c>
      <c r="H66" s="144" t="str">
        <f t="shared" si="27"/>
        <v xml:space="preserve"> </v>
      </c>
      <c r="I66" s="145" t="str">
        <f t="shared" si="27"/>
        <v xml:space="preserve"> </v>
      </c>
      <c r="J66" s="119"/>
      <c r="M66" s="244">
        <f t="shared" si="4"/>
        <v>0</v>
      </c>
      <c r="N66" s="245"/>
      <c r="O66" s="123"/>
      <c r="P66" s="124"/>
      <c r="Q66" s="123"/>
      <c r="R66" s="124"/>
      <c r="S66" s="125"/>
      <c r="T66" s="124"/>
    </row>
    <row r="67" spans="1:28" ht="24" hidden="1" customHeight="1" x14ac:dyDescent="0.3">
      <c r="A67" s="119"/>
      <c r="B67" s="249"/>
      <c r="C67" s="250"/>
      <c r="D67" s="144" t="str">
        <f t="shared" si="25"/>
        <v xml:space="preserve"> </v>
      </c>
      <c r="E67" s="145" t="str">
        <f t="shared" si="25"/>
        <v xml:space="preserve"> </v>
      </c>
      <c r="F67" s="144" t="str">
        <f t="shared" si="26"/>
        <v xml:space="preserve"> </v>
      </c>
      <c r="G67" s="145" t="str">
        <f t="shared" si="28"/>
        <v xml:space="preserve"> </v>
      </c>
      <c r="H67" s="144" t="str">
        <f t="shared" si="27"/>
        <v xml:space="preserve"> </v>
      </c>
      <c r="I67" s="145" t="str">
        <f t="shared" si="27"/>
        <v xml:space="preserve"> </v>
      </c>
      <c r="J67" s="119"/>
      <c r="M67" s="244">
        <f t="shared" si="4"/>
        <v>0</v>
      </c>
      <c r="N67" s="245"/>
      <c r="O67" s="123"/>
      <c r="P67" s="124"/>
      <c r="Q67" s="123"/>
      <c r="R67" s="124"/>
      <c r="S67" s="125"/>
      <c r="T67" s="124"/>
    </row>
    <row r="68" spans="1:28" ht="24" hidden="1" customHeight="1" x14ac:dyDescent="0.3">
      <c r="A68" s="119"/>
      <c r="B68" s="249"/>
      <c r="C68" s="250"/>
      <c r="D68" s="144" t="str">
        <f t="shared" si="25"/>
        <v xml:space="preserve"> </v>
      </c>
      <c r="E68" s="145" t="str">
        <f t="shared" si="25"/>
        <v xml:space="preserve"> </v>
      </c>
      <c r="F68" s="144" t="str">
        <f t="shared" si="26"/>
        <v xml:space="preserve"> </v>
      </c>
      <c r="G68" s="145" t="str">
        <f t="shared" si="28"/>
        <v xml:space="preserve"> </v>
      </c>
      <c r="H68" s="144" t="str">
        <f t="shared" si="27"/>
        <v xml:space="preserve"> </v>
      </c>
      <c r="I68" s="145" t="str">
        <f t="shared" si="27"/>
        <v xml:space="preserve"> </v>
      </c>
      <c r="J68" s="119"/>
      <c r="M68" s="244">
        <f t="shared" si="4"/>
        <v>0</v>
      </c>
      <c r="N68" s="245"/>
      <c r="O68" s="123"/>
      <c r="P68" s="124"/>
      <c r="Q68" s="123"/>
      <c r="R68" s="124"/>
      <c r="S68" s="125"/>
      <c r="T68" s="124"/>
    </row>
    <row r="69" spans="1:28" ht="24" hidden="1" customHeight="1" x14ac:dyDescent="0.3">
      <c r="A69" s="119"/>
      <c r="B69" s="249"/>
      <c r="C69" s="250"/>
      <c r="D69" s="144" t="str">
        <f t="shared" si="25"/>
        <v xml:space="preserve"> </v>
      </c>
      <c r="E69" s="145" t="str">
        <f t="shared" si="25"/>
        <v xml:space="preserve"> </v>
      </c>
      <c r="F69" s="144" t="str">
        <f t="shared" si="26"/>
        <v xml:space="preserve"> </v>
      </c>
      <c r="G69" s="145" t="str">
        <f t="shared" si="28"/>
        <v xml:space="preserve"> </v>
      </c>
      <c r="H69" s="144" t="str">
        <f t="shared" si="27"/>
        <v xml:space="preserve"> </v>
      </c>
      <c r="I69" s="145" t="str">
        <f t="shared" si="27"/>
        <v xml:space="preserve"> </v>
      </c>
      <c r="J69" s="119"/>
      <c r="M69" s="244">
        <f t="shared" si="4"/>
        <v>0</v>
      </c>
      <c r="N69" s="245"/>
      <c r="O69" s="123"/>
      <c r="P69" s="124"/>
      <c r="Q69" s="123"/>
      <c r="R69" s="124"/>
      <c r="S69" s="125"/>
      <c r="T69" s="124"/>
    </row>
    <row r="70" spans="1:28" ht="24" hidden="1" customHeight="1" x14ac:dyDescent="0.3">
      <c r="A70" s="119"/>
      <c r="B70" s="240"/>
      <c r="C70" s="241"/>
      <c r="D70" s="146" t="str">
        <f t="shared" si="25"/>
        <v xml:space="preserve"> </v>
      </c>
      <c r="E70" s="147" t="str">
        <f t="shared" si="25"/>
        <v xml:space="preserve"> </v>
      </c>
      <c r="F70" s="144" t="str">
        <f t="shared" si="26"/>
        <v xml:space="preserve"> </v>
      </c>
      <c r="G70" s="145" t="str">
        <f t="shared" si="28"/>
        <v xml:space="preserve"> </v>
      </c>
      <c r="H70" s="146" t="str">
        <f t="shared" si="27"/>
        <v xml:space="preserve"> </v>
      </c>
      <c r="I70" s="147" t="str">
        <f t="shared" si="27"/>
        <v xml:space="preserve"> </v>
      </c>
      <c r="J70" s="119"/>
      <c r="M70" s="336">
        <f t="shared" si="4"/>
        <v>0</v>
      </c>
      <c r="N70" s="337"/>
      <c r="O70" s="123" t="str" cm="1">
        <f t="array" ref="O70">IFERROR(INDEX(SKT번이구매가,MATCH(1,(SKT요금제=$D$6)*(SKT모델명=$B70),0)),"")</f>
        <v/>
      </c>
      <c r="P70" s="124" t="str" cm="1">
        <f t="array" ref="P70">IFERROR(INDEX(SKT번이구매가,MATCH(1,(SKT요금제=$D$6)*(SKT모델명=$B70),0)),"")</f>
        <v/>
      </c>
      <c r="Q70" s="123" t="str" cm="1">
        <f t="array" ref="Q70">IFERROR(INDEX(KT번이구매가,MATCH(1,(KT요금제=$F$56)*(KT모델명=$B70),0)),"")</f>
        <v/>
      </c>
      <c r="R70" s="124" t="str" cm="1">
        <f t="array" ref="R70">IFERROR(INDEX(KT기변구매가,MATCH(1,(KT요금제=$F$56)*(KT모델명=$B70),0)),"")</f>
        <v/>
      </c>
      <c r="S70" s="125" t="str" cm="1">
        <f t="array" ref="S70">IFERROR(INDEX(LG번이구매가,MATCH(1,(LG요금제=$H$6)*(LG모델명=$B70),0)),"")</f>
        <v/>
      </c>
      <c r="T70" s="124" t="str" cm="1">
        <f t="array" ref="T70">IFERROR(INDEX(LG번이구매가,MATCH(1,(LG요금제=$H$6)*(LG모델명=$B70),0)),"")</f>
        <v/>
      </c>
    </row>
    <row r="71" spans="1:28" ht="30.6" customHeight="1" x14ac:dyDescent="0.3">
      <c r="A71" s="119"/>
      <c r="B71" s="171"/>
      <c r="C71" s="172" t="s">
        <v>296</v>
      </c>
      <c r="D71" s="251" t="s">
        <v>288</v>
      </c>
      <c r="E71" s="251"/>
      <c r="F71" s="325" t="s">
        <v>244</v>
      </c>
      <c r="G71" s="325"/>
      <c r="H71" s="276"/>
      <c r="I71" s="277"/>
      <c r="J71" s="119"/>
      <c r="M71" s="234" t="str">
        <f>C71</f>
        <v>개봉폰 특가2</v>
      </c>
      <c r="N71" s="236"/>
      <c r="O71" s="254" t="s">
        <v>39</v>
      </c>
      <c r="P71" s="254"/>
      <c r="Q71" s="255" t="s">
        <v>72</v>
      </c>
      <c r="R71" s="255"/>
      <c r="S71" s="334" t="s">
        <v>224</v>
      </c>
      <c r="T71" s="335"/>
    </row>
    <row r="72" spans="1:28" ht="24" customHeight="1" x14ac:dyDescent="0.3">
      <c r="A72" s="119"/>
      <c r="B72" s="242" t="s">
        <v>297</v>
      </c>
      <c r="C72" s="243"/>
      <c r="D72" s="137" t="s">
        <v>5</v>
      </c>
      <c r="E72" s="138" t="s">
        <v>7</v>
      </c>
      <c r="F72" s="137" t="s">
        <v>227</v>
      </c>
      <c r="G72" s="138" t="s">
        <v>226</v>
      </c>
      <c r="H72" s="139" t="s">
        <v>228</v>
      </c>
      <c r="I72" s="138" t="s">
        <v>229</v>
      </c>
      <c r="J72" s="119"/>
      <c r="M72" s="346" t="str">
        <f t="shared" si="4"/>
        <v>요금제 90,000원부터~</v>
      </c>
      <c r="N72" s="347"/>
      <c r="O72" s="140" t="s">
        <v>4</v>
      </c>
      <c r="P72" s="133" t="s">
        <v>6</v>
      </c>
      <c r="Q72" s="140" t="s">
        <v>5</v>
      </c>
      <c r="R72" s="133" t="s">
        <v>7</v>
      </c>
      <c r="S72" s="141" t="s">
        <v>5</v>
      </c>
      <c r="T72" s="133" t="s">
        <v>7</v>
      </c>
    </row>
    <row r="73" spans="1:28" ht="24" customHeight="1" x14ac:dyDescent="0.3">
      <c r="A73" s="119"/>
      <c r="B73" s="258" t="s">
        <v>240</v>
      </c>
      <c r="C73" s="259"/>
      <c r="D73" s="148" t="str">
        <f t="shared" ref="D73:E76" si="29">IF(COUNTIFS(SKT모델명,$B73,SKT요금제,$D$71)=1,
SUMIFS(SKT번이구매가,SKT모델명,$B73,SKT요금제,$D$71)," ")</f>
        <v xml:space="preserve"> </v>
      </c>
      <c r="E73" s="149" t="str">
        <f>IF(COUNTIFS(SKT모델명,$B73,SKT요금제,$D$71)=1,
SUMIFS(SKT기변구매가,SKT모델명,$B73,SKT요금제,$D$71)," ")</f>
        <v xml:space="preserve"> </v>
      </c>
      <c r="F73" s="148">
        <f t="shared" ref="F73:G76" si="30">IF(COUNTIFS(KT모델명,$B73,KT요금제,$F$71)=1,
SUMIFS(KT번이구매가,KT모델명,$B73,KT요금제,$F$71)," ")</f>
        <v>-31</v>
      </c>
      <c r="G73" s="149">
        <f>IF(COUNTIFS(KT모델명,$B73,KT요금제,$F$71)=1,
SUMIFS(KT기변구매가,KT모델명,$B73,KT요금제,$F$71)," ")</f>
        <v>-28</v>
      </c>
      <c r="H73" s="144" t="str">
        <f t="shared" ref="H73:I74" si="31">IF(COUNTIFS(LG모델명,$B73,LG요금제,$H$56)=1,
SUMIFS(LG번이구매가,LG모델명,$B73,LG요금제,$H$56)," ")</f>
        <v xml:space="preserve"> </v>
      </c>
      <c r="I73" s="145" t="str">
        <f t="shared" si="31"/>
        <v xml:space="preserve"> </v>
      </c>
      <c r="J73" s="119"/>
      <c r="M73" s="338" t="str">
        <f t="shared" si="4"/>
        <v>갤럭시 Z 플립6(개봉)</v>
      </c>
      <c r="N73" s="339"/>
      <c r="O73" s="121"/>
      <c r="P73" s="122"/>
      <c r="Q73" s="121" cm="1">
        <f t="array" ref="Q73">IFERROR(INDEX(KT번이구매가,MATCH(1,(KT요금제=$F$56)*(KT모델명=$B73),0)),"")</f>
        <v>-31</v>
      </c>
      <c r="R73" s="122" cm="1">
        <f t="array" ref="R73">IFERROR(INDEX(KT기변구매가,MATCH(1,(KT요금제=$F$56)*(KT모델명=$B73),0)),"")</f>
        <v>-28</v>
      </c>
      <c r="S73" s="120"/>
      <c r="T73" s="122"/>
    </row>
    <row r="74" spans="1:28" ht="24" customHeight="1" x14ac:dyDescent="0.3">
      <c r="A74" s="119"/>
      <c r="B74" s="249" t="s">
        <v>241</v>
      </c>
      <c r="C74" s="250"/>
      <c r="D74" s="144" t="str">
        <f t="shared" si="29"/>
        <v xml:space="preserve"> </v>
      </c>
      <c r="E74" s="145" t="str">
        <f>IF(COUNTIFS(SKT모델명,$B74,SKT요금제,$D$71)=1,
SUMIFS(SKT기변구매가,SKT모델명,$B74,SKT요금제,$D$71)," ")</f>
        <v xml:space="preserve"> </v>
      </c>
      <c r="F74" s="144">
        <v>14</v>
      </c>
      <c r="G74" s="145">
        <v>17</v>
      </c>
      <c r="H74" s="144" t="str">
        <f t="shared" si="31"/>
        <v xml:space="preserve"> </v>
      </c>
      <c r="I74" s="145" t="str">
        <f t="shared" si="31"/>
        <v xml:space="preserve"> </v>
      </c>
      <c r="J74" s="119"/>
      <c r="M74" s="244" t="str">
        <f t="shared" si="4"/>
        <v>갤럭시 Z 폴드6(개봉)</v>
      </c>
      <c r="N74" s="245"/>
      <c r="O74" s="123"/>
      <c r="P74" s="124"/>
      <c r="Q74" s="123"/>
      <c r="R74" s="124"/>
      <c r="S74" s="125"/>
      <c r="T74" s="124"/>
    </row>
    <row r="75" spans="1:28" ht="24" hidden="1" customHeight="1" x14ac:dyDescent="0.3">
      <c r="A75" s="119"/>
      <c r="B75" s="249" t="s">
        <v>180</v>
      </c>
      <c r="C75" s="250"/>
      <c r="D75" s="150" t="str">
        <f t="shared" si="29"/>
        <v xml:space="preserve"> </v>
      </c>
      <c r="E75" s="147" t="str">
        <f t="shared" si="29"/>
        <v xml:space="preserve"> </v>
      </c>
      <c r="F75" s="144" t="str">
        <f t="shared" si="30"/>
        <v xml:space="preserve"> </v>
      </c>
      <c r="G75" s="145" t="str">
        <f t="shared" si="30"/>
        <v xml:space="preserve"> </v>
      </c>
      <c r="H75" s="150" t="str">
        <f t="shared" ref="H75:I76" si="32">IF(COUNTIFS(LG모델명,$B75,LG요금제,$H$71)=1,
SUMIFS(LG번이구매가,LG모델명,$B75,LG요금제,$H$71)," ")</f>
        <v xml:space="preserve"> </v>
      </c>
      <c r="I75" s="147" t="str">
        <f t="shared" si="32"/>
        <v xml:space="preserve"> </v>
      </c>
      <c r="J75" s="119"/>
      <c r="M75" s="244" t="str">
        <f t="shared" si="4"/>
        <v>갤럭시S24FE(개봉)</v>
      </c>
      <c r="N75" s="245"/>
      <c r="O75" s="123"/>
      <c r="P75" s="124"/>
      <c r="Q75" s="123"/>
      <c r="R75" s="124"/>
      <c r="S75" s="125"/>
      <c r="T75" s="124"/>
    </row>
    <row r="76" spans="1:28" ht="21" hidden="1" customHeight="1" x14ac:dyDescent="0.3">
      <c r="A76" s="119"/>
      <c r="B76" s="249"/>
      <c r="C76" s="250"/>
      <c r="D76" s="150" t="str">
        <f t="shared" si="29"/>
        <v xml:space="preserve"> </v>
      </c>
      <c r="E76" s="147" t="str">
        <f t="shared" si="29"/>
        <v xml:space="preserve"> </v>
      </c>
      <c r="F76" s="144" t="str">
        <f t="shared" si="30"/>
        <v xml:space="preserve"> </v>
      </c>
      <c r="G76" s="145" t="str">
        <f t="shared" si="30"/>
        <v xml:space="preserve"> </v>
      </c>
      <c r="H76" s="150" t="str">
        <f t="shared" si="32"/>
        <v xml:space="preserve"> </v>
      </c>
      <c r="I76" s="147" t="str">
        <f t="shared" si="32"/>
        <v xml:space="preserve"> </v>
      </c>
      <c r="J76" s="119"/>
      <c r="M76" s="244">
        <f t="shared" si="4"/>
        <v>0</v>
      </c>
      <c r="N76" s="245"/>
      <c r="O76" s="123"/>
      <c r="P76" s="124"/>
      <c r="Q76" s="123"/>
      <c r="R76" s="124"/>
      <c r="S76" s="125"/>
      <c r="T76" s="124"/>
    </row>
    <row r="77" spans="1:28" ht="30.6" customHeight="1" x14ac:dyDescent="0.3">
      <c r="A77" s="119"/>
      <c r="B77" s="171"/>
      <c r="C77" s="172" t="s">
        <v>310</v>
      </c>
      <c r="D77" s="340" t="s">
        <v>312</v>
      </c>
      <c r="E77" s="340"/>
      <c r="F77" s="341" t="s">
        <v>313</v>
      </c>
      <c r="G77" s="341"/>
      <c r="H77" s="276"/>
      <c r="I77" s="277"/>
      <c r="J77" s="119"/>
      <c r="M77" s="234" t="s">
        <v>316</v>
      </c>
      <c r="N77" s="235"/>
      <c r="O77" s="235"/>
      <c r="P77" s="235"/>
      <c r="Q77" s="235"/>
      <c r="R77" s="235"/>
      <c r="S77" s="235"/>
      <c r="T77" s="236"/>
      <c r="U77" s="232" t="s">
        <v>315</v>
      </c>
      <c r="V77" s="233"/>
      <c r="W77" s="233"/>
      <c r="X77" s="233"/>
      <c r="Y77" s="233"/>
      <c r="Z77" s="233"/>
      <c r="AA77" s="233"/>
      <c r="AB77" s="233"/>
    </row>
    <row r="78" spans="1:28" ht="24" customHeight="1" x14ac:dyDescent="0.3">
      <c r="A78" s="119"/>
      <c r="B78" s="242" t="s">
        <v>311</v>
      </c>
      <c r="C78" s="243"/>
      <c r="D78" s="137" t="s">
        <v>5</v>
      </c>
      <c r="E78" s="138" t="s">
        <v>7</v>
      </c>
      <c r="F78" s="137" t="s">
        <v>227</v>
      </c>
      <c r="G78" s="138" t="s">
        <v>226</v>
      </c>
      <c r="H78" s="139" t="s">
        <v>228</v>
      </c>
      <c r="I78" s="138" t="s">
        <v>229</v>
      </c>
      <c r="J78" s="119"/>
      <c r="M78" s="234"/>
      <c r="N78" s="235"/>
      <c r="O78" s="235"/>
      <c r="P78" s="235"/>
      <c r="Q78" s="235"/>
      <c r="R78" s="235"/>
      <c r="S78" s="235"/>
      <c r="T78" s="236"/>
      <c r="U78" s="232"/>
      <c r="V78" s="233"/>
      <c r="W78" s="233"/>
      <c r="X78" s="233"/>
      <c r="Y78" s="233"/>
      <c r="Z78" s="233"/>
      <c r="AA78" s="233"/>
      <c r="AB78" s="233"/>
    </row>
    <row r="79" spans="1:28" ht="24" customHeight="1" x14ac:dyDescent="0.3">
      <c r="A79" s="119"/>
      <c r="B79" s="258" t="s">
        <v>314</v>
      </c>
      <c r="C79" s="259"/>
      <c r="D79" s="123"/>
      <c r="E79" s="124"/>
      <c r="F79" s="150">
        <v>-19</v>
      </c>
      <c r="G79" s="147">
        <v>-2</v>
      </c>
      <c r="H79" s="125"/>
      <c r="I79" s="124"/>
      <c r="J79" s="119"/>
      <c r="M79" s="234"/>
      <c r="N79" s="235"/>
      <c r="O79" s="235"/>
      <c r="P79" s="235"/>
      <c r="Q79" s="235"/>
      <c r="R79" s="235"/>
      <c r="S79" s="235"/>
      <c r="T79" s="236"/>
      <c r="U79" s="232"/>
      <c r="V79" s="233"/>
      <c r="W79" s="233"/>
      <c r="X79" s="233"/>
      <c r="Y79" s="233"/>
      <c r="Z79" s="233"/>
      <c r="AA79" s="233"/>
      <c r="AB79" s="233"/>
    </row>
    <row r="80" spans="1:28" ht="24" customHeight="1" x14ac:dyDescent="0.3">
      <c r="A80" s="119"/>
      <c r="B80" s="249" t="s">
        <v>359</v>
      </c>
      <c r="C80" s="250"/>
      <c r="D80" s="123" t="s">
        <v>320</v>
      </c>
      <c r="E80" s="123" t="s">
        <v>321</v>
      </c>
      <c r="F80" s="150"/>
      <c r="G80" s="147"/>
      <c r="H80" s="125"/>
      <c r="I80" s="124"/>
      <c r="J80" s="119"/>
      <c r="M80" s="234"/>
      <c r="N80" s="235"/>
      <c r="O80" s="235"/>
      <c r="P80" s="235"/>
      <c r="Q80" s="235"/>
      <c r="R80" s="235"/>
      <c r="S80" s="235"/>
      <c r="T80" s="236"/>
      <c r="U80" s="232"/>
      <c r="V80" s="233"/>
      <c r="W80" s="233"/>
      <c r="X80" s="233"/>
      <c r="Y80" s="233"/>
      <c r="Z80" s="233"/>
      <c r="AA80" s="233"/>
      <c r="AB80" s="233"/>
    </row>
    <row r="81" spans="1:28" ht="24" customHeight="1" x14ac:dyDescent="0.3">
      <c r="A81" s="119"/>
      <c r="B81" s="249" t="s">
        <v>358</v>
      </c>
      <c r="C81" s="250"/>
      <c r="D81" s="123"/>
      <c r="E81" s="123"/>
      <c r="F81" s="150">
        <v>-2</v>
      </c>
      <c r="G81" s="147">
        <v>3</v>
      </c>
      <c r="H81" s="123"/>
      <c r="I81" s="124"/>
      <c r="J81" s="119"/>
      <c r="M81" s="237"/>
      <c r="N81" s="238"/>
      <c r="O81" s="238"/>
      <c r="P81" s="238"/>
      <c r="Q81" s="238"/>
      <c r="R81" s="238"/>
      <c r="S81" s="238"/>
      <c r="T81" s="239"/>
      <c r="U81" s="232"/>
      <c r="V81" s="233"/>
      <c r="W81" s="233"/>
      <c r="X81" s="233"/>
      <c r="Y81" s="233"/>
      <c r="Z81" s="233"/>
      <c r="AA81" s="233"/>
      <c r="AB81" s="233"/>
    </row>
    <row r="82" spans="1:28" ht="24" hidden="1" customHeight="1" x14ac:dyDescent="0.3">
      <c r="A82" s="119"/>
      <c r="B82" s="249"/>
      <c r="C82" s="250"/>
      <c r="D82" s="123"/>
      <c r="E82" s="124"/>
      <c r="F82" s="126"/>
      <c r="G82" s="124"/>
      <c r="H82" s="125"/>
      <c r="I82" s="124"/>
      <c r="J82" s="119"/>
      <c r="M82" s="244">
        <f t="shared" si="4"/>
        <v>0</v>
      </c>
      <c r="N82" s="245"/>
      <c r="O82" s="123"/>
      <c r="P82" s="124"/>
      <c r="Q82" s="123"/>
      <c r="R82" s="124"/>
      <c r="S82" s="125"/>
      <c r="T82" s="124"/>
    </row>
    <row r="83" spans="1:28" ht="24" hidden="1" customHeight="1" x14ac:dyDescent="0.3">
      <c r="A83" s="119"/>
      <c r="B83" s="249"/>
      <c r="C83" s="250"/>
      <c r="D83" s="123"/>
      <c r="E83" s="124"/>
      <c r="F83" s="126"/>
      <c r="G83" s="124"/>
      <c r="H83" s="125"/>
      <c r="I83" s="124"/>
      <c r="J83" s="119"/>
      <c r="M83" s="244">
        <f t="shared" ref="M83:M85" si="33">$B83</f>
        <v>0</v>
      </c>
      <c r="N83" s="245"/>
      <c r="O83" s="123"/>
      <c r="P83" s="124"/>
      <c r="Q83" s="123"/>
      <c r="R83" s="124"/>
      <c r="S83" s="125"/>
      <c r="T83" s="124"/>
    </row>
    <row r="84" spans="1:28" ht="24" hidden="1" customHeight="1" x14ac:dyDescent="0.3">
      <c r="A84" s="119"/>
      <c r="B84" s="249"/>
      <c r="C84" s="250"/>
      <c r="D84" s="123"/>
      <c r="E84" s="124"/>
      <c r="F84" s="126"/>
      <c r="G84" s="124"/>
      <c r="H84" s="125"/>
      <c r="I84" s="124"/>
      <c r="J84" s="119"/>
      <c r="M84" s="244">
        <f t="shared" si="33"/>
        <v>0</v>
      </c>
      <c r="N84" s="245"/>
      <c r="O84" s="123"/>
      <c r="P84" s="124"/>
      <c r="Q84" s="126"/>
      <c r="R84" s="124"/>
      <c r="S84" s="125"/>
      <c r="T84" s="124"/>
    </row>
    <row r="85" spans="1:28" ht="24" hidden="1" customHeight="1" x14ac:dyDescent="0.3">
      <c r="A85" s="119"/>
      <c r="B85" s="249"/>
      <c r="C85" s="250"/>
      <c r="D85" s="123"/>
      <c r="E85" s="124"/>
      <c r="F85" s="123"/>
      <c r="G85" s="124"/>
      <c r="H85" s="125"/>
      <c r="I85" s="124"/>
      <c r="J85" s="119"/>
      <c r="M85" s="256">
        <f t="shared" si="33"/>
        <v>0</v>
      </c>
      <c r="N85" s="257"/>
      <c r="O85" s="153"/>
      <c r="P85" s="154"/>
      <c r="Q85" s="155" t="str" cm="1">
        <f t="array" ref="Q85">IFERROR(INDEX(KT번이구매가,MATCH(1,(KT요금제=$F$56)*(KT모델명=$B85),0)),"")</f>
        <v/>
      </c>
      <c r="R85" s="154" t="str" cm="1">
        <f t="array" ref="R85">IFERROR(INDEX(KT기변구매가,MATCH(1,(KT요금제=$F$56)*(KT모델명=$B85),0)),"")</f>
        <v/>
      </c>
      <c r="S85" s="156"/>
      <c r="T85" s="154"/>
    </row>
    <row r="86" spans="1:28" ht="32.450000000000003" customHeight="1" x14ac:dyDescent="0.3">
      <c r="A86" s="119"/>
      <c r="B86" s="264" t="s">
        <v>251</v>
      </c>
      <c r="C86" s="265"/>
      <c r="D86" s="265"/>
      <c r="E86" s="265"/>
      <c r="F86" s="265"/>
      <c r="G86" s="162"/>
      <c r="H86" s="127"/>
      <c r="I86" s="128"/>
      <c r="J86" s="119"/>
    </row>
    <row r="87" spans="1:28" ht="18" customHeight="1" x14ac:dyDescent="0.3">
      <c r="A87" s="119"/>
      <c r="B87" s="266"/>
      <c r="C87" s="266"/>
      <c r="D87" s="120"/>
      <c r="E87" s="120"/>
      <c r="F87" s="120"/>
      <c r="G87" s="120"/>
      <c r="H87" s="120"/>
      <c r="I87" s="120"/>
      <c r="J87" s="119"/>
    </row>
    <row r="88" spans="1:28" ht="33" customHeight="1" x14ac:dyDescent="0.3">
      <c r="A88" s="119"/>
      <c r="B88" s="267" t="s">
        <v>247</v>
      </c>
      <c r="C88" s="268"/>
      <c r="D88" s="268"/>
      <c r="E88" s="268"/>
      <c r="F88" s="268"/>
      <c r="G88" s="268"/>
      <c r="H88" s="268"/>
      <c r="I88" s="269"/>
      <c r="J88" s="119"/>
    </row>
    <row r="89" spans="1:28" ht="25.5" customHeight="1" x14ac:dyDescent="0.3">
      <c r="A89" s="119"/>
      <c r="B89" s="260" t="s">
        <v>279</v>
      </c>
      <c r="C89" s="261"/>
      <c r="D89" s="270" t="s">
        <v>249</v>
      </c>
      <c r="E89" s="271"/>
      <c r="F89" s="272" t="s">
        <v>188</v>
      </c>
      <c r="G89" s="273"/>
      <c r="H89" s="274" t="s">
        <v>189</v>
      </c>
      <c r="I89" s="275"/>
      <c r="J89" s="119"/>
    </row>
    <row r="90" spans="1:28" ht="16.5" customHeight="1" x14ac:dyDescent="0.3">
      <c r="A90" s="119"/>
      <c r="B90" s="262"/>
      <c r="C90" s="263"/>
      <c r="D90" s="142" t="s">
        <v>233</v>
      </c>
      <c r="E90" s="143" t="s">
        <v>194</v>
      </c>
      <c r="F90" s="142" t="s">
        <v>233</v>
      </c>
      <c r="G90" s="143" t="s">
        <v>194</v>
      </c>
      <c r="H90" s="142" t="s">
        <v>233</v>
      </c>
      <c r="I90" s="143" t="s">
        <v>194</v>
      </c>
      <c r="J90" s="119"/>
    </row>
    <row r="91" spans="1:28" ht="16.5" customHeight="1" x14ac:dyDescent="0.3">
      <c r="A91" s="119"/>
      <c r="B91" s="262"/>
      <c r="C91" s="263"/>
      <c r="D91" s="288" t="s">
        <v>232</v>
      </c>
      <c r="E91" s="290" t="s">
        <v>190</v>
      </c>
      <c r="F91" s="342" t="s">
        <v>191</v>
      </c>
      <c r="G91" s="294" t="s">
        <v>192</v>
      </c>
      <c r="H91" s="286" t="s">
        <v>345</v>
      </c>
      <c r="I91" s="292" t="s">
        <v>344</v>
      </c>
      <c r="J91" s="119"/>
    </row>
    <row r="92" spans="1:28" ht="16.5" customHeight="1" x14ac:dyDescent="0.3">
      <c r="A92" s="119"/>
      <c r="B92" s="262"/>
      <c r="C92" s="263"/>
      <c r="D92" s="289"/>
      <c r="E92" s="291"/>
      <c r="F92" s="343"/>
      <c r="G92" s="295"/>
      <c r="H92" s="287"/>
      <c r="I92" s="293"/>
      <c r="J92" s="119"/>
    </row>
    <row r="93" spans="1:28" ht="46.5" customHeight="1" x14ac:dyDescent="0.3">
      <c r="A93" s="119"/>
      <c r="B93" s="262"/>
      <c r="C93" s="263"/>
      <c r="D93" s="225" t="s">
        <v>304</v>
      </c>
      <c r="E93" s="228" t="s">
        <v>305</v>
      </c>
      <c r="F93" s="159" t="s">
        <v>303</v>
      </c>
      <c r="G93" s="160" t="s">
        <v>193</v>
      </c>
      <c r="H93" s="224" t="s">
        <v>248</v>
      </c>
      <c r="I93" s="223" t="s">
        <v>242</v>
      </c>
      <c r="J93" s="119"/>
    </row>
    <row r="94" spans="1:28" ht="40.5" customHeight="1" x14ac:dyDescent="0.3">
      <c r="A94" s="119"/>
      <c r="B94" s="262"/>
      <c r="C94" s="263"/>
      <c r="D94" s="157" t="s">
        <v>303</v>
      </c>
      <c r="E94" s="158" t="s">
        <v>243</v>
      </c>
      <c r="F94" s="227"/>
      <c r="G94" s="229"/>
      <c r="H94" s="226" t="s">
        <v>303</v>
      </c>
      <c r="I94" s="161" t="s">
        <v>302</v>
      </c>
      <c r="J94" s="119"/>
    </row>
    <row r="95" spans="1:28" ht="22.5" customHeight="1" x14ac:dyDescent="0.3">
      <c r="A95" s="119"/>
      <c r="B95" s="260" t="s">
        <v>225</v>
      </c>
      <c r="C95" s="261"/>
      <c r="D95" s="296" t="s">
        <v>250</v>
      </c>
      <c r="E95" s="297"/>
      <c r="F95" s="302" t="s">
        <v>355</v>
      </c>
      <c r="G95" s="303"/>
      <c r="H95" s="308" t="s">
        <v>343</v>
      </c>
      <c r="I95" s="309"/>
      <c r="J95" s="119"/>
    </row>
    <row r="96" spans="1:28" ht="24" customHeight="1" x14ac:dyDescent="0.3">
      <c r="A96" s="119"/>
      <c r="B96" s="262"/>
      <c r="C96" s="263"/>
      <c r="D96" s="298"/>
      <c r="E96" s="299"/>
      <c r="F96" s="304"/>
      <c r="G96" s="305"/>
      <c r="H96" s="310"/>
      <c r="I96" s="311"/>
      <c r="J96" s="119"/>
    </row>
    <row r="97" spans="1:10" ht="22.5" customHeight="1" x14ac:dyDescent="0.3">
      <c r="A97" s="119"/>
      <c r="B97" s="344"/>
      <c r="C97" s="345"/>
      <c r="D97" s="300"/>
      <c r="E97" s="301"/>
      <c r="F97" s="306"/>
      <c r="G97" s="307"/>
      <c r="H97" s="312"/>
      <c r="I97" s="313"/>
      <c r="J97" s="119"/>
    </row>
    <row r="98" spans="1:10" ht="32.25" customHeight="1" x14ac:dyDescent="0.3">
      <c r="A98" s="119"/>
      <c r="B98" s="284" t="s">
        <v>196</v>
      </c>
      <c r="C98" s="285"/>
      <c r="D98" s="278" t="s">
        <v>195</v>
      </c>
      <c r="E98" s="279"/>
      <c r="F98" s="280" t="s">
        <v>354</v>
      </c>
      <c r="G98" s="281"/>
      <c r="H98" s="282" t="s">
        <v>195</v>
      </c>
      <c r="I98" s="283"/>
      <c r="J98" s="119"/>
    </row>
    <row r="99" spans="1:10" ht="35.25" customHeight="1" x14ac:dyDescent="0.3">
      <c r="A99" s="119"/>
      <c r="B99" s="351" t="s">
        <v>254</v>
      </c>
      <c r="C99" s="352"/>
      <c r="D99" s="352"/>
      <c r="E99" s="352"/>
      <c r="F99" s="352"/>
      <c r="G99" s="352"/>
      <c r="H99" s="352"/>
      <c r="I99" s="353"/>
      <c r="J99" s="119"/>
    </row>
    <row r="100" spans="1:10" s="219" customFormat="1" ht="32.450000000000003" customHeight="1" x14ac:dyDescent="0.3">
      <c r="A100" s="193"/>
      <c r="B100" s="372" t="s">
        <v>281</v>
      </c>
      <c r="C100" s="373"/>
      <c r="D100" s="373"/>
      <c r="E100" s="373"/>
      <c r="F100" s="373"/>
      <c r="G100" s="199"/>
      <c r="H100" s="194"/>
      <c r="I100" s="195"/>
      <c r="J100" s="193"/>
    </row>
    <row r="101" spans="1:10" ht="18.600000000000001" customHeight="1" x14ac:dyDescent="0.3">
      <c r="A101" s="119"/>
      <c r="B101" s="371"/>
      <c r="C101" s="371"/>
      <c r="D101" s="119"/>
      <c r="E101" s="119"/>
      <c r="F101" s="119"/>
      <c r="G101" s="119"/>
      <c r="H101" s="119"/>
      <c r="I101" s="119"/>
      <c r="J101" s="119"/>
    </row>
    <row r="102" spans="1:10" ht="33" customHeight="1" x14ac:dyDescent="0.3">
      <c r="A102" s="119"/>
      <c r="B102" s="267" t="s">
        <v>252</v>
      </c>
      <c r="C102" s="268"/>
      <c r="D102" s="268"/>
      <c r="E102" s="268"/>
      <c r="F102" s="268"/>
      <c r="G102" s="268"/>
      <c r="H102" s="268"/>
      <c r="I102" s="269"/>
      <c r="J102" s="119"/>
    </row>
    <row r="103" spans="1:10" ht="25.9" customHeight="1" x14ac:dyDescent="0.3">
      <c r="A103" s="119"/>
      <c r="B103" s="260" t="s">
        <v>253</v>
      </c>
      <c r="C103" s="261"/>
      <c r="D103" s="270" t="s">
        <v>249</v>
      </c>
      <c r="E103" s="271"/>
      <c r="F103" s="272" t="s">
        <v>188</v>
      </c>
      <c r="G103" s="273"/>
      <c r="H103" s="274" t="s">
        <v>189</v>
      </c>
      <c r="I103" s="275"/>
      <c r="J103" s="119"/>
    </row>
    <row r="104" spans="1:10" ht="14.25" customHeight="1" x14ac:dyDescent="0.3">
      <c r="A104" s="119"/>
      <c r="B104" s="262"/>
      <c r="C104" s="263"/>
      <c r="D104" s="142" t="s">
        <v>198</v>
      </c>
      <c r="E104" s="143" t="s">
        <v>194</v>
      </c>
      <c r="F104" s="142" t="s">
        <v>199</v>
      </c>
      <c r="G104" s="143" t="s">
        <v>194</v>
      </c>
      <c r="H104" s="142" t="s">
        <v>198</v>
      </c>
      <c r="I104" s="143" t="s">
        <v>194</v>
      </c>
      <c r="J104" s="119"/>
    </row>
    <row r="105" spans="1:10" ht="21.75" customHeight="1" x14ac:dyDescent="0.3">
      <c r="A105" s="119"/>
      <c r="B105" s="262"/>
      <c r="C105" s="263"/>
      <c r="D105" s="363" t="s">
        <v>245</v>
      </c>
      <c r="E105" s="366" t="s">
        <v>204</v>
      </c>
      <c r="F105" s="163" t="s">
        <v>200</v>
      </c>
      <c r="G105" s="164" t="s">
        <v>202</v>
      </c>
      <c r="H105" s="357" t="s">
        <v>364</v>
      </c>
      <c r="I105" s="360" t="s">
        <v>203</v>
      </c>
      <c r="J105" s="119"/>
    </row>
    <row r="106" spans="1:10" ht="21.75" customHeight="1" x14ac:dyDescent="0.3">
      <c r="A106" s="119"/>
      <c r="B106" s="262"/>
      <c r="C106" s="263"/>
      <c r="D106" s="364"/>
      <c r="E106" s="367"/>
      <c r="F106" s="165" t="s">
        <v>201</v>
      </c>
      <c r="G106" s="166" t="s">
        <v>178</v>
      </c>
      <c r="H106" s="358"/>
      <c r="I106" s="361"/>
      <c r="J106" s="119"/>
    </row>
    <row r="107" spans="1:10" ht="21.75" customHeight="1" x14ac:dyDescent="0.3">
      <c r="A107" s="119"/>
      <c r="B107" s="344"/>
      <c r="C107" s="345"/>
      <c r="D107" s="365"/>
      <c r="E107" s="368"/>
      <c r="F107" s="167" t="s">
        <v>317</v>
      </c>
      <c r="G107" s="168" t="s">
        <v>318</v>
      </c>
      <c r="H107" s="359"/>
      <c r="I107" s="362"/>
      <c r="J107" s="119"/>
    </row>
    <row r="108" spans="1:10" ht="21.75" customHeight="1" x14ac:dyDescent="0.3">
      <c r="A108" s="119"/>
      <c r="B108" s="284" t="s">
        <v>197</v>
      </c>
      <c r="C108" s="285"/>
      <c r="D108" s="278" t="s">
        <v>70</v>
      </c>
      <c r="E108" s="279"/>
      <c r="F108" s="369" t="s">
        <v>70</v>
      </c>
      <c r="G108" s="370"/>
      <c r="H108" s="282" t="s">
        <v>70</v>
      </c>
      <c r="I108" s="283"/>
      <c r="J108" s="119"/>
    </row>
    <row r="109" spans="1:10" ht="42" customHeight="1" x14ac:dyDescent="0.3">
      <c r="A109" s="119"/>
      <c r="B109" s="354" t="s">
        <v>280</v>
      </c>
      <c r="C109" s="355"/>
      <c r="D109" s="355"/>
      <c r="E109" s="355"/>
      <c r="F109" s="355"/>
      <c r="G109" s="355"/>
      <c r="H109" s="355"/>
      <c r="I109" s="356"/>
      <c r="J109" s="119"/>
    </row>
    <row r="110" spans="1:10" ht="25.15" customHeight="1" x14ac:dyDescent="0.3">
      <c r="A110" s="119"/>
      <c r="B110" s="348" t="s">
        <v>254</v>
      </c>
      <c r="C110" s="349"/>
      <c r="D110" s="349"/>
      <c r="E110" s="349"/>
      <c r="F110" s="349"/>
      <c r="G110" s="349"/>
      <c r="H110" s="349"/>
      <c r="I110" s="350"/>
      <c r="J110" s="119"/>
    </row>
    <row r="111" spans="1:10" ht="32.450000000000003" customHeight="1" x14ac:dyDescent="0.3">
      <c r="A111" s="119"/>
      <c r="B111" s="264" t="s">
        <v>251</v>
      </c>
      <c r="C111" s="265"/>
      <c r="D111" s="265"/>
      <c r="E111" s="265"/>
      <c r="F111" s="265"/>
      <c r="G111" s="162"/>
      <c r="H111" s="127"/>
      <c r="I111" s="128"/>
      <c r="J111" s="119"/>
    </row>
    <row r="112" spans="1:10" ht="18.600000000000001" customHeight="1" x14ac:dyDescent="0.3">
      <c r="A112" s="119"/>
      <c r="B112" s="266"/>
      <c r="C112" s="266"/>
      <c r="D112" s="266"/>
      <c r="E112" s="266"/>
      <c r="F112" s="266"/>
      <c r="G112" s="266"/>
      <c r="H112" s="266"/>
      <c r="I112" s="266"/>
      <c r="J112" s="119"/>
    </row>
    <row r="113" spans="1:10" ht="33" customHeight="1" x14ac:dyDescent="0.3">
      <c r="A113" s="119"/>
      <c r="B113" s="434" t="s">
        <v>255</v>
      </c>
      <c r="C113" s="435"/>
      <c r="D113" s="435"/>
      <c r="E113" s="435"/>
      <c r="F113" s="435"/>
      <c r="G113" s="435"/>
      <c r="H113" s="435"/>
      <c r="I113" s="436"/>
      <c r="J113" s="119"/>
    </row>
    <row r="114" spans="1:10" ht="28.9" customHeight="1" x14ac:dyDescent="0.3">
      <c r="A114" s="119"/>
      <c r="B114" s="440" t="s">
        <v>262</v>
      </c>
      <c r="C114" s="441"/>
      <c r="D114" s="441"/>
      <c r="E114" s="441"/>
      <c r="F114" s="441"/>
      <c r="G114" s="441"/>
      <c r="H114" s="441"/>
      <c r="I114" s="442"/>
      <c r="J114" s="119"/>
    </row>
    <row r="115" spans="1:10" ht="20.45" customHeight="1" x14ac:dyDescent="0.3">
      <c r="A115" s="119"/>
      <c r="B115" s="173"/>
      <c r="C115" s="174"/>
      <c r="D115" s="174"/>
      <c r="E115" s="174"/>
      <c r="F115" s="174"/>
      <c r="G115" s="174"/>
      <c r="H115" s="174"/>
      <c r="I115" s="175"/>
      <c r="J115" s="119"/>
    </row>
    <row r="116" spans="1:10" s="220" customFormat="1" ht="22.15" customHeight="1" x14ac:dyDescent="0.3">
      <c r="A116" s="214"/>
      <c r="B116" s="437" t="s">
        <v>298</v>
      </c>
      <c r="C116" s="438"/>
      <c r="D116" s="438"/>
      <c r="E116" s="438"/>
      <c r="F116" s="438"/>
      <c r="G116" s="438"/>
      <c r="H116" s="438"/>
      <c r="I116" s="439"/>
      <c r="J116" s="214"/>
    </row>
    <row r="117" spans="1:10" s="220" customFormat="1" ht="22.15" customHeight="1" x14ac:dyDescent="0.3">
      <c r="A117" s="214"/>
      <c r="B117" s="437" t="s">
        <v>299</v>
      </c>
      <c r="C117" s="438"/>
      <c r="D117" s="438"/>
      <c r="E117" s="438"/>
      <c r="F117" s="438"/>
      <c r="G117" s="438"/>
      <c r="H117" s="438"/>
      <c r="I117" s="439"/>
      <c r="J117" s="214"/>
    </row>
    <row r="118" spans="1:10" s="220" customFormat="1" ht="22.15" customHeight="1" x14ac:dyDescent="0.3">
      <c r="A118" s="214"/>
      <c r="B118" s="437" t="s">
        <v>300</v>
      </c>
      <c r="C118" s="438"/>
      <c r="D118" s="438"/>
      <c r="E118" s="438"/>
      <c r="F118" s="438"/>
      <c r="G118" s="438"/>
      <c r="H118" s="438"/>
      <c r="I118" s="439"/>
      <c r="J118" s="214"/>
    </row>
    <row r="119" spans="1:10" s="220" customFormat="1" ht="22.15" customHeight="1" x14ac:dyDescent="0.3">
      <c r="A119" s="214"/>
      <c r="B119" s="437" t="s">
        <v>256</v>
      </c>
      <c r="C119" s="438"/>
      <c r="D119" s="438"/>
      <c r="E119" s="438"/>
      <c r="F119" s="438"/>
      <c r="G119" s="438"/>
      <c r="H119" s="438"/>
      <c r="I119" s="439"/>
      <c r="J119" s="214"/>
    </row>
    <row r="120" spans="1:10" s="220" customFormat="1" ht="22.15" customHeight="1" x14ac:dyDescent="0.3">
      <c r="A120" s="214"/>
      <c r="B120" s="437" t="s">
        <v>301</v>
      </c>
      <c r="C120" s="438"/>
      <c r="D120" s="438"/>
      <c r="E120" s="438"/>
      <c r="F120" s="438"/>
      <c r="G120" s="438"/>
      <c r="H120" s="438"/>
      <c r="I120" s="439"/>
      <c r="J120" s="214"/>
    </row>
    <row r="121" spans="1:10" s="220" customFormat="1" ht="22.15" customHeight="1" x14ac:dyDescent="0.3">
      <c r="A121" s="214"/>
      <c r="B121" s="437" t="s">
        <v>257</v>
      </c>
      <c r="C121" s="438"/>
      <c r="D121" s="438"/>
      <c r="E121" s="438"/>
      <c r="F121" s="438"/>
      <c r="G121" s="438"/>
      <c r="H121" s="438"/>
      <c r="I121" s="439"/>
      <c r="J121" s="214"/>
    </row>
    <row r="122" spans="1:10" s="220" customFormat="1" ht="22.15" customHeight="1" x14ac:dyDescent="0.3">
      <c r="A122" s="214"/>
      <c r="B122" s="437" t="s">
        <v>261</v>
      </c>
      <c r="C122" s="438"/>
      <c r="D122" s="438"/>
      <c r="E122" s="438"/>
      <c r="F122" s="438"/>
      <c r="G122" s="438"/>
      <c r="H122" s="438"/>
      <c r="I122" s="439"/>
      <c r="J122" s="214"/>
    </row>
    <row r="123" spans="1:10" s="220" customFormat="1" ht="22.15" customHeight="1" x14ac:dyDescent="0.3">
      <c r="A123" s="214"/>
      <c r="B123" s="437" t="s">
        <v>258</v>
      </c>
      <c r="C123" s="438"/>
      <c r="D123" s="438"/>
      <c r="E123" s="438"/>
      <c r="F123" s="438"/>
      <c r="G123" s="438"/>
      <c r="H123" s="438"/>
      <c r="I123" s="439"/>
      <c r="J123" s="214"/>
    </row>
    <row r="124" spans="1:10" s="220" customFormat="1" ht="22.15" customHeight="1" x14ac:dyDescent="0.3">
      <c r="A124" s="214"/>
      <c r="B124" s="437" t="s">
        <v>259</v>
      </c>
      <c r="C124" s="438"/>
      <c r="D124" s="438"/>
      <c r="E124" s="438"/>
      <c r="F124" s="438"/>
      <c r="G124" s="438"/>
      <c r="H124" s="438"/>
      <c r="I124" s="439"/>
      <c r="J124" s="214"/>
    </row>
    <row r="125" spans="1:10" s="220" customFormat="1" ht="22.15" customHeight="1" x14ac:dyDescent="0.3">
      <c r="A125" s="214"/>
      <c r="B125" s="437" t="s">
        <v>260</v>
      </c>
      <c r="C125" s="438"/>
      <c r="D125" s="438"/>
      <c r="E125" s="438"/>
      <c r="F125" s="438"/>
      <c r="G125" s="438"/>
      <c r="H125" s="438"/>
      <c r="I125" s="439"/>
      <c r="J125" s="214"/>
    </row>
    <row r="126" spans="1:10" ht="5.45" customHeight="1" x14ac:dyDescent="0.3">
      <c r="A126" s="119"/>
      <c r="B126" s="173"/>
      <c r="C126" s="174"/>
      <c r="D126" s="174"/>
      <c r="E126" s="174"/>
      <c r="F126" s="174"/>
      <c r="G126" s="174"/>
      <c r="H126" s="174"/>
      <c r="I126" s="175"/>
      <c r="J126" s="119"/>
    </row>
    <row r="127" spans="1:10" s="219" customFormat="1" ht="32.450000000000003" customHeight="1" x14ac:dyDescent="0.3">
      <c r="A127" s="193"/>
      <c r="B127" s="432" t="s">
        <v>281</v>
      </c>
      <c r="C127" s="433"/>
      <c r="D127" s="433"/>
      <c r="E127" s="433"/>
      <c r="F127" s="433"/>
      <c r="G127" s="196"/>
      <c r="H127" s="197"/>
      <c r="I127" s="198"/>
      <c r="J127" s="193"/>
    </row>
    <row r="128" spans="1:10" ht="16.149999999999999" customHeight="1" x14ac:dyDescent="0.3">
      <c r="A128" s="119"/>
      <c r="B128" s="119"/>
      <c r="C128" s="119"/>
      <c r="D128" s="119"/>
      <c r="E128" s="119"/>
      <c r="F128" s="119"/>
      <c r="G128" s="119"/>
      <c r="H128" s="119"/>
      <c r="I128" s="119"/>
      <c r="J128" s="119"/>
    </row>
  </sheetData>
  <sheetProtection selectLockedCells="1" selectUnlockedCells="1"/>
  <mergeCells count="239">
    <mergeCell ref="B47:C47"/>
    <mergeCell ref="B48:C48"/>
    <mergeCell ref="B39:C39"/>
    <mergeCell ref="F71:G71"/>
    <mergeCell ref="M14:N14"/>
    <mergeCell ref="M28:N28"/>
    <mergeCell ref="M29:N29"/>
    <mergeCell ref="M30:N30"/>
    <mergeCell ref="M31:N31"/>
    <mergeCell ref="M48:N48"/>
    <mergeCell ref="M49:N49"/>
    <mergeCell ref="M52:N52"/>
    <mergeCell ref="M53:N53"/>
    <mergeCell ref="M54:N54"/>
    <mergeCell ref="F16:G16"/>
    <mergeCell ref="H16:I16"/>
    <mergeCell ref="M26:N26"/>
    <mergeCell ref="M19:N19"/>
    <mergeCell ref="D56:E56"/>
    <mergeCell ref="F56:G56"/>
    <mergeCell ref="H56:I56"/>
    <mergeCell ref="M39:N39"/>
    <mergeCell ref="M40:N40"/>
    <mergeCell ref="M41:N41"/>
    <mergeCell ref="B127:F127"/>
    <mergeCell ref="B113:I113"/>
    <mergeCell ref="B116:I116"/>
    <mergeCell ref="B117:I117"/>
    <mergeCell ref="B118:I118"/>
    <mergeCell ref="B119:I119"/>
    <mergeCell ref="B120:I120"/>
    <mergeCell ref="B121:I121"/>
    <mergeCell ref="B122:I122"/>
    <mergeCell ref="B123:I123"/>
    <mergeCell ref="B124:I124"/>
    <mergeCell ref="B125:I125"/>
    <mergeCell ref="B114:I114"/>
    <mergeCell ref="M2:T2"/>
    <mergeCell ref="B2:I2"/>
    <mergeCell ref="D6:E7"/>
    <mergeCell ref="F6:G7"/>
    <mergeCell ref="H6:I7"/>
    <mergeCell ref="O6:P7"/>
    <mergeCell ref="Q6:R7"/>
    <mergeCell ref="S6:T7"/>
    <mergeCell ref="O4:P5"/>
    <mergeCell ref="Q4:R5"/>
    <mergeCell ref="S4:T5"/>
    <mergeCell ref="B7:C8"/>
    <mergeCell ref="B4:B6"/>
    <mergeCell ref="C5:C6"/>
    <mergeCell ref="M4:N5"/>
    <mergeCell ref="H4:I5"/>
    <mergeCell ref="F4:G5"/>
    <mergeCell ref="D4:E5"/>
    <mergeCell ref="M6:N8"/>
    <mergeCell ref="B102:I102"/>
    <mergeCell ref="B112:I112"/>
    <mergeCell ref="B111:F111"/>
    <mergeCell ref="B110:I110"/>
    <mergeCell ref="B99:I99"/>
    <mergeCell ref="B109:I109"/>
    <mergeCell ref="D103:E103"/>
    <mergeCell ref="F103:G103"/>
    <mergeCell ref="H103:I103"/>
    <mergeCell ref="H105:H107"/>
    <mergeCell ref="I105:I107"/>
    <mergeCell ref="D105:D107"/>
    <mergeCell ref="B108:C108"/>
    <mergeCell ref="E105:E107"/>
    <mergeCell ref="F108:G108"/>
    <mergeCell ref="D108:E108"/>
    <mergeCell ref="H108:I108"/>
    <mergeCell ref="B103:C107"/>
    <mergeCell ref="B101:C101"/>
    <mergeCell ref="B100:F100"/>
    <mergeCell ref="M63:N63"/>
    <mergeCell ref="M64:N64"/>
    <mergeCell ref="M65:N65"/>
    <mergeCell ref="M66:N66"/>
    <mergeCell ref="M67:N67"/>
    <mergeCell ref="M68:N68"/>
    <mergeCell ref="M69:N69"/>
    <mergeCell ref="M70:N70"/>
    <mergeCell ref="M73:N73"/>
    <mergeCell ref="M72:N72"/>
    <mergeCell ref="M71:N71"/>
    <mergeCell ref="D77:E77"/>
    <mergeCell ref="F77:G77"/>
    <mergeCell ref="H77:I77"/>
    <mergeCell ref="S71:T71"/>
    <mergeCell ref="F91:F92"/>
    <mergeCell ref="B95:C97"/>
    <mergeCell ref="M84:N84"/>
    <mergeCell ref="M82:N82"/>
    <mergeCell ref="M85:N85"/>
    <mergeCell ref="M83:N83"/>
    <mergeCell ref="M56:N57"/>
    <mergeCell ref="M38:T38"/>
    <mergeCell ref="M27:N27"/>
    <mergeCell ref="Q56:R56"/>
    <mergeCell ref="M35:N35"/>
    <mergeCell ref="M74:N74"/>
    <mergeCell ref="M75:N75"/>
    <mergeCell ref="M76:N76"/>
    <mergeCell ref="M32:N32"/>
    <mergeCell ref="S56:T56"/>
    <mergeCell ref="O56:P56"/>
    <mergeCell ref="M42:N42"/>
    <mergeCell ref="M43:N43"/>
    <mergeCell ref="M44:N44"/>
    <mergeCell ref="M45:N45"/>
    <mergeCell ref="M51:N51"/>
    <mergeCell ref="M55:N55"/>
    <mergeCell ref="M46:N46"/>
    <mergeCell ref="M47:N47"/>
    <mergeCell ref="M58:N58"/>
    <mergeCell ref="M59:N59"/>
    <mergeCell ref="M60:N60"/>
    <mergeCell ref="M61:N61"/>
    <mergeCell ref="M62:N62"/>
    <mergeCell ref="B12:C12"/>
    <mergeCell ref="B21:C21"/>
    <mergeCell ref="B27:C27"/>
    <mergeCell ref="B28:C28"/>
    <mergeCell ref="B29:C29"/>
    <mergeCell ref="B30:C30"/>
    <mergeCell ref="B22:C22"/>
    <mergeCell ref="B23:C23"/>
    <mergeCell ref="B24:C24"/>
    <mergeCell ref="B25:C25"/>
    <mergeCell ref="B26:C26"/>
    <mergeCell ref="B19:C19"/>
    <mergeCell ref="B20:C20"/>
    <mergeCell ref="B15:C15"/>
    <mergeCell ref="B17:C17"/>
    <mergeCell ref="B18:I18"/>
    <mergeCell ref="D16:E16"/>
    <mergeCell ref="M9:T9"/>
    <mergeCell ref="M24:N24"/>
    <mergeCell ref="M25:N25"/>
    <mergeCell ref="M11:N11"/>
    <mergeCell ref="M18:T18"/>
    <mergeCell ref="M15:N15"/>
    <mergeCell ref="M17:N17"/>
    <mergeCell ref="O16:P16"/>
    <mergeCell ref="Q16:R16"/>
    <mergeCell ref="S16:T16"/>
    <mergeCell ref="M12:N12"/>
    <mergeCell ref="M13:N13"/>
    <mergeCell ref="M10:N10"/>
    <mergeCell ref="M20:N20"/>
    <mergeCell ref="M21:N21"/>
    <mergeCell ref="M22:N22"/>
    <mergeCell ref="M23:N23"/>
    <mergeCell ref="B9:I9"/>
    <mergeCell ref="B31:C31"/>
    <mergeCell ref="B11:C11"/>
    <mergeCell ref="B64:C64"/>
    <mergeCell ref="B65:C65"/>
    <mergeCell ref="B66:C66"/>
    <mergeCell ref="B67:C67"/>
    <mergeCell ref="B61:C61"/>
    <mergeCell ref="B62:C62"/>
    <mergeCell ref="B58:C58"/>
    <mergeCell ref="B59:C59"/>
    <mergeCell ref="B60:C60"/>
    <mergeCell ref="B42:C42"/>
    <mergeCell ref="B43:C43"/>
    <mergeCell ref="B44:C44"/>
    <mergeCell ref="B57:C57"/>
    <mergeCell ref="B52:C52"/>
    <mergeCell ref="B53:C53"/>
    <mergeCell ref="B54:C54"/>
    <mergeCell ref="B55:C55"/>
    <mergeCell ref="B40:C40"/>
    <mergeCell ref="B13:C13"/>
    <mergeCell ref="B14:C14"/>
    <mergeCell ref="B10:C10"/>
    <mergeCell ref="D98:E98"/>
    <mergeCell ref="F98:G98"/>
    <mergeCell ref="H98:I98"/>
    <mergeCell ref="B98:C98"/>
    <mergeCell ref="H91:H92"/>
    <mergeCell ref="D91:D92"/>
    <mergeCell ref="E91:E92"/>
    <mergeCell ref="I91:I92"/>
    <mergeCell ref="G91:G92"/>
    <mergeCell ref="D95:E97"/>
    <mergeCell ref="F95:G97"/>
    <mergeCell ref="H95:I97"/>
    <mergeCell ref="B51:C51"/>
    <mergeCell ref="B73:C73"/>
    <mergeCell ref="B74:C74"/>
    <mergeCell ref="B75:C75"/>
    <mergeCell ref="B76:C76"/>
    <mergeCell ref="B89:C94"/>
    <mergeCell ref="B68:C68"/>
    <mergeCell ref="B69:C69"/>
    <mergeCell ref="B80:C80"/>
    <mergeCell ref="B86:F86"/>
    <mergeCell ref="B84:C84"/>
    <mergeCell ref="B85:C85"/>
    <mergeCell ref="B87:C87"/>
    <mergeCell ref="B88:I88"/>
    <mergeCell ref="B78:C78"/>
    <mergeCell ref="B82:C82"/>
    <mergeCell ref="B83:C83"/>
    <mergeCell ref="B79:C79"/>
    <mergeCell ref="B81:C81"/>
    <mergeCell ref="D89:E89"/>
    <mergeCell ref="F89:G89"/>
    <mergeCell ref="H89:I89"/>
    <mergeCell ref="H71:I71"/>
    <mergeCell ref="B63:C63"/>
    <mergeCell ref="U77:AB81"/>
    <mergeCell ref="M77:T81"/>
    <mergeCell ref="B70:C70"/>
    <mergeCell ref="B72:C72"/>
    <mergeCell ref="M50:N50"/>
    <mergeCell ref="B38:I38"/>
    <mergeCell ref="B41:C41"/>
    <mergeCell ref="B32:C32"/>
    <mergeCell ref="B33:C33"/>
    <mergeCell ref="B34:C34"/>
    <mergeCell ref="B35:C35"/>
    <mergeCell ref="B36:C36"/>
    <mergeCell ref="B49:C49"/>
    <mergeCell ref="B50:C50"/>
    <mergeCell ref="M33:N33"/>
    <mergeCell ref="M34:N34"/>
    <mergeCell ref="D71:E71"/>
    <mergeCell ref="B45:C45"/>
    <mergeCell ref="B46:C46"/>
    <mergeCell ref="B37:C37"/>
    <mergeCell ref="O71:P71"/>
    <mergeCell ref="Q71:R71"/>
    <mergeCell ref="M37:N37"/>
    <mergeCell ref="M36:N36"/>
  </mergeCells>
  <phoneticPr fontId="1" type="noConversion"/>
  <conditionalFormatting sqref="D10:I15 D19:I37 D39:I55 D58:I70 D73:I76">
    <cfRule type="expression" dxfId="14" priority="52">
      <formula>AND(OR(ISNUMBER(FIND("갤럭시",$B10)),ISNUMBER(FIND("아이폰",$B10))),MOD(ROW($B10),2)=1,LEN(O10)=0)</formula>
    </cfRule>
    <cfRule type="expression" dxfId="13" priority="53">
      <formula>AND(OR(ISNUMBER(FIND("갤럭시",$B10)),ISNUMBER(FIND("아이폰",$B10))),D10=" ")</formula>
    </cfRule>
  </conditionalFormatting>
  <conditionalFormatting sqref="D10:I17 D19:I76 D86:I86">
    <cfRule type="expression" dxfId="12" priority="68">
      <formula>AND(LEN(O10)&gt;0,LEN(O10)&lt;2)</formula>
    </cfRule>
  </conditionalFormatting>
  <conditionalFormatting sqref="D77:I78">
    <cfRule type="expression" dxfId="11" priority="5">
      <formula>AND(LEN(O77)&gt;0,LEN(O77)&lt;2)</formula>
    </cfRule>
  </conditionalFormatting>
  <conditionalFormatting sqref="D79:I85">
    <cfRule type="expression" dxfId="10" priority="2">
      <formula>AND(OR(ISNUMBER(FIND("갤럭시",$B79)),ISNUMBER(FIND("아이폰",$B79))),MOD(ROW($B79),2)=1,LEN(N79)=0)</formula>
    </cfRule>
    <cfRule type="expression" dxfId="9" priority="3">
      <formula>AND(OR(ISNUMBER(FIND("갤럭시",$B79)),ISNUMBER(FIND("아이폰",$B79))),D79=" ")</formula>
    </cfRule>
    <cfRule type="expression" dxfId="8" priority="4">
      <formula>AND(LEN(N79)&gt;0,LEN(N79)&lt;2)</formula>
    </cfRule>
  </conditionalFormatting>
  <conditionalFormatting sqref="O10:T15 O19:T37 O39:T55 O58:T70 O73:T76 O82:T85">
    <cfRule type="expression" dxfId="7" priority="27">
      <formula>AND(OR(ISNUMBER(FIND("갤럭시",$B10)),ISNUMBER(FIND("아이폰",$B10))),MOD(ROW($B10),2)=1,LEN(Y10)=0)</formula>
    </cfRule>
    <cfRule type="expression" dxfId="6" priority="28">
      <formula>AND(OR(ISNUMBER(FIND("갤럭시",$B10)),ISNUMBER(FIND("아이폰",$B10))),O10=" ")</formula>
    </cfRule>
  </conditionalFormatting>
  <conditionalFormatting sqref="O10:T15 O19:T76 O82:T86">
    <cfRule type="expression" dxfId="5" priority="51">
      <formula>AND(LEN(Y10)&gt;0,LEN(Y10)&lt;2)</formula>
    </cfRule>
  </conditionalFormatting>
  <conditionalFormatting sqref="O16:T17">
    <cfRule type="expression" dxfId="4" priority="1">
      <formula>AND(LEN(Z16)&gt;0,LEN(Z16)&lt;2)</formula>
    </cfRule>
  </conditionalFormatting>
  <pageMargins left="0.7" right="0.7" top="0.75" bottom="0.75" header="0.3" footer="0.3"/>
  <pageSetup paperSize="9" orientation="portrait" horizontalDpi="4294967292" r:id="rId1"/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4">
        <x14:dataValidation type="list" allowBlank="1" showInputMessage="1" showErrorMessage="1" xr:uid="{00000000-0002-0000-0000-000000000000}">
          <x14:formula1>
            <xm:f>INDEX!$F$4:$F$243</xm:f>
          </x14:formula1>
          <xm:sqref>B73:C76 B39:C55 B58:C70 B19:C37 B10:C15</xm:sqref>
        </x14:dataValidation>
        <x14:dataValidation type="list" allowBlank="1" showInputMessage="1" showErrorMessage="1" xr:uid="{00000000-0002-0000-0000-000001000000}">
          <x14:formula1>
            <xm:f>INDEX!$C$4:$C$18</xm:f>
          </x14:formula1>
          <xm:sqref>D6:E7 D56:E56 D71:E71 D16:E16</xm:sqref>
        </x14:dataValidation>
        <x14:dataValidation type="list" allowBlank="1" showInputMessage="1" showErrorMessage="1" xr:uid="{00000000-0002-0000-0000-000002000000}">
          <x14:formula1>
            <xm:f>INDEX!$B$4:$B$18</xm:f>
          </x14:formula1>
          <xm:sqref>F6:G7 F56:G56 F71:G71 F16:G16</xm:sqref>
        </x14:dataValidation>
        <x14:dataValidation type="list" allowBlank="1" showInputMessage="1" showErrorMessage="1" xr:uid="{00000000-0002-0000-0000-000003000000}">
          <x14:formula1>
            <xm:f>INDEX!$D$4:$D$18</xm:f>
          </x14:formula1>
          <xm:sqref>H6:I7 H56:I56 H16:I16 H71:I71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I30"/>
  <sheetViews>
    <sheetView showGridLines="0" zoomScaleNormal="100" workbookViewId="0">
      <selection activeCell="K29" sqref="K29"/>
    </sheetView>
  </sheetViews>
  <sheetFormatPr defaultRowHeight="16.5" x14ac:dyDescent="0.3"/>
  <cols>
    <col min="1" max="1" width="2" customWidth="1"/>
    <col min="2" max="2" width="19.75" customWidth="1"/>
    <col min="3" max="3" width="15.25" customWidth="1"/>
    <col min="4" max="4" width="10.75" customWidth="1"/>
    <col min="5" max="5" width="10.125" customWidth="1"/>
    <col min="6" max="6" width="10.75" customWidth="1"/>
    <col min="7" max="7" width="10.125" customWidth="1"/>
    <col min="8" max="8" width="6.75" customWidth="1"/>
    <col min="9" max="9" width="10.125" customWidth="1"/>
    <col min="10" max="10" width="2.5" customWidth="1"/>
  </cols>
  <sheetData>
    <row r="1" spans="2:9" ht="10.5" customHeight="1" x14ac:dyDescent="0.3"/>
    <row r="2" spans="2:9" s="177" customFormat="1" ht="29.45" customHeight="1" x14ac:dyDescent="0.3">
      <c r="B2" s="473" t="s">
        <v>346</v>
      </c>
      <c r="C2" s="473"/>
      <c r="D2" s="473"/>
      <c r="E2" s="473"/>
      <c r="F2" s="473"/>
      <c r="G2" s="473"/>
      <c r="H2" s="473"/>
      <c r="I2" s="473"/>
    </row>
    <row r="3" spans="2:9" x14ac:dyDescent="0.3">
      <c r="B3" s="191" t="s">
        <v>98</v>
      </c>
      <c r="C3" s="192" t="s">
        <v>270</v>
      </c>
      <c r="D3" s="487" t="s">
        <v>273</v>
      </c>
      <c r="E3" s="488"/>
      <c r="F3" s="487" t="s">
        <v>274</v>
      </c>
      <c r="G3" s="488"/>
      <c r="H3" s="487" t="s">
        <v>271</v>
      </c>
      <c r="I3" s="489"/>
    </row>
    <row r="4" spans="2:9" ht="34.15" customHeight="1" x14ac:dyDescent="0.3">
      <c r="B4" s="187" t="s">
        <v>277</v>
      </c>
      <c r="C4" s="178" t="s">
        <v>268</v>
      </c>
      <c r="D4" s="490" t="s">
        <v>339</v>
      </c>
      <c r="E4" s="491"/>
      <c r="F4" s="490" t="s">
        <v>276</v>
      </c>
      <c r="G4" s="491"/>
      <c r="H4" s="492">
        <v>58850</v>
      </c>
      <c r="I4" s="493"/>
    </row>
    <row r="5" spans="2:9" ht="34.15" customHeight="1" x14ac:dyDescent="0.3">
      <c r="B5" s="188" t="s">
        <v>278</v>
      </c>
      <c r="C5" s="189" t="s">
        <v>269</v>
      </c>
      <c r="D5" s="483" t="s">
        <v>340</v>
      </c>
      <c r="E5" s="484"/>
      <c r="F5" s="483" t="s">
        <v>275</v>
      </c>
      <c r="G5" s="484"/>
      <c r="H5" s="485">
        <v>54450</v>
      </c>
      <c r="I5" s="486"/>
    </row>
    <row r="6" spans="2:9" s="190" customFormat="1" ht="25.15" customHeight="1" x14ac:dyDescent="0.3">
      <c r="B6" s="476" t="s">
        <v>272</v>
      </c>
      <c r="C6" s="477"/>
      <c r="D6" s="477"/>
      <c r="E6" s="477"/>
      <c r="F6" s="477"/>
      <c r="G6" s="477"/>
      <c r="H6" s="477"/>
      <c r="I6" s="478"/>
    </row>
    <row r="7" spans="2:9" s="119" customFormat="1" ht="29.45" customHeight="1" x14ac:dyDescent="0.3">
      <c r="B7" s="479" t="s">
        <v>282</v>
      </c>
      <c r="C7" s="480"/>
      <c r="D7" s="480"/>
      <c r="E7" s="480"/>
      <c r="F7" s="162"/>
      <c r="G7" s="162"/>
      <c r="H7" s="127"/>
      <c r="I7" s="128"/>
    </row>
    <row r="9" spans="2:9" s="177" customFormat="1" ht="29.45" customHeight="1" x14ac:dyDescent="0.3">
      <c r="B9" s="475" t="s">
        <v>356</v>
      </c>
      <c r="C9" s="475"/>
      <c r="D9" s="475"/>
      <c r="E9" s="475"/>
      <c r="F9" s="475"/>
      <c r="G9" s="475"/>
      <c r="H9" s="475"/>
      <c r="I9" s="475"/>
    </row>
    <row r="10" spans="2:9" x14ac:dyDescent="0.3">
      <c r="B10" s="179" t="s">
        <v>98</v>
      </c>
      <c r="C10" s="468" t="s">
        <v>266</v>
      </c>
      <c r="D10" s="468"/>
      <c r="E10" s="468" t="s">
        <v>139</v>
      </c>
      <c r="F10" s="468"/>
      <c r="G10" s="468" t="s">
        <v>143</v>
      </c>
      <c r="H10" s="468"/>
      <c r="I10" s="180"/>
    </row>
    <row r="11" spans="2:9" ht="29.25" customHeight="1" x14ac:dyDescent="0.3">
      <c r="B11" s="181" t="s">
        <v>182</v>
      </c>
      <c r="C11" s="469" t="s">
        <v>125</v>
      </c>
      <c r="D11" s="470"/>
      <c r="E11" s="471" t="s">
        <v>186</v>
      </c>
      <c r="F11" s="472"/>
      <c r="G11" s="463" t="s">
        <v>153</v>
      </c>
      <c r="H11" s="463"/>
      <c r="I11" s="182" t="s">
        <v>140</v>
      </c>
    </row>
    <row r="12" spans="2:9" ht="25.5" customHeight="1" x14ac:dyDescent="0.3">
      <c r="B12" s="183" t="s">
        <v>183</v>
      </c>
      <c r="C12" s="459" t="s">
        <v>127</v>
      </c>
      <c r="D12" s="460"/>
      <c r="E12" s="461" t="s">
        <v>144</v>
      </c>
      <c r="F12" s="462"/>
      <c r="G12" s="463" t="s">
        <v>130</v>
      </c>
      <c r="H12" s="463"/>
      <c r="I12" s="182" t="s">
        <v>141</v>
      </c>
    </row>
    <row r="13" spans="2:9" ht="27.75" customHeight="1" x14ac:dyDescent="0.3">
      <c r="B13" s="183" t="s">
        <v>184</v>
      </c>
      <c r="C13" s="464" t="s">
        <v>153</v>
      </c>
      <c r="D13" s="465"/>
      <c r="E13" s="466" t="s">
        <v>185</v>
      </c>
      <c r="F13" s="467"/>
      <c r="G13" s="463" t="s">
        <v>338</v>
      </c>
      <c r="H13" s="463"/>
      <c r="I13" s="182" t="s">
        <v>142</v>
      </c>
    </row>
    <row r="14" spans="2:9" s="119" customFormat="1" ht="29.45" customHeight="1" x14ac:dyDescent="0.3">
      <c r="B14" s="481" t="s">
        <v>282</v>
      </c>
      <c r="C14" s="482"/>
      <c r="D14" s="482"/>
      <c r="E14" s="482"/>
      <c r="F14" s="200"/>
      <c r="G14" s="200"/>
      <c r="H14" s="201"/>
      <c r="I14" s="202"/>
    </row>
    <row r="16" spans="2:9" s="177" customFormat="1" ht="29.45" customHeight="1" x14ac:dyDescent="0.3">
      <c r="B16" s="474" t="s">
        <v>366</v>
      </c>
      <c r="C16" s="474"/>
      <c r="D16" s="474"/>
      <c r="E16" s="474"/>
      <c r="F16" s="474"/>
      <c r="G16" s="474"/>
      <c r="H16" s="474"/>
      <c r="I16" s="474"/>
    </row>
    <row r="17" spans="2:9" x14ac:dyDescent="0.3">
      <c r="B17" s="184" t="s">
        <v>99</v>
      </c>
      <c r="C17" s="448" t="s">
        <v>265</v>
      </c>
      <c r="D17" s="448"/>
      <c r="E17" s="448" t="s">
        <v>267</v>
      </c>
      <c r="F17" s="448"/>
      <c r="G17" s="448"/>
      <c r="H17" s="448" t="s">
        <v>118</v>
      </c>
      <c r="I17" s="449"/>
    </row>
    <row r="18" spans="2:9" ht="38.25" x14ac:dyDescent="0.3">
      <c r="B18" s="185" t="s">
        <v>157</v>
      </c>
      <c r="C18" s="452" t="s">
        <v>125</v>
      </c>
      <c r="D18" s="452"/>
      <c r="E18" s="452" t="s">
        <v>126</v>
      </c>
      <c r="F18" s="452"/>
      <c r="G18" s="452"/>
      <c r="H18" s="450" t="s">
        <v>160</v>
      </c>
      <c r="I18" s="451"/>
    </row>
    <row r="19" spans="2:9" ht="38.25" x14ac:dyDescent="0.3">
      <c r="B19" s="186" t="s">
        <v>158</v>
      </c>
      <c r="C19" s="453" t="s">
        <v>127</v>
      </c>
      <c r="D19" s="453"/>
      <c r="E19" s="453" t="s">
        <v>128</v>
      </c>
      <c r="F19" s="453"/>
      <c r="G19" s="453"/>
      <c r="H19" s="450" t="s">
        <v>159</v>
      </c>
      <c r="I19" s="451"/>
    </row>
    <row r="20" spans="2:9" s="119" customFormat="1" ht="29.45" customHeight="1" x14ac:dyDescent="0.3">
      <c r="B20" s="454" t="s">
        <v>282</v>
      </c>
      <c r="C20" s="455"/>
      <c r="D20" s="455"/>
      <c r="E20" s="455"/>
      <c r="F20" s="203"/>
      <c r="G20" s="203"/>
      <c r="H20" s="204"/>
      <c r="I20" s="205"/>
    </row>
    <row r="22" spans="2:9" s="177" customFormat="1" ht="33" customHeight="1" x14ac:dyDescent="0.3">
      <c r="B22" s="456" t="s">
        <v>255</v>
      </c>
      <c r="C22" s="457"/>
      <c r="D22" s="457"/>
      <c r="E22" s="457"/>
      <c r="F22" s="457"/>
      <c r="G22" s="457"/>
      <c r="H22" s="457"/>
      <c r="I22" s="458"/>
    </row>
    <row r="23" spans="2:9" s="177" customFormat="1" ht="7.15" customHeight="1" x14ac:dyDescent="0.3">
      <c r="B23" s="206"/>
      <c r="C23" s="207"/>
      <c r="D23" s="207"/>
      <c r="E23" s="207"/>
      <c r="F23" s="207"/>
      <c r="G23" s="207"/>
      <c r="H23" s="207"/>
      <c r="I23" s="208"/>
    </row>
    <row r="24" spans="2:9" ht="21" customHeight="1" x14ac:dyDescent="0.3">
      <c r="B24" s="445" t="s">
        <v>285</v>
      </c>
      <c r="C24" s="446"/>
      <c r="D24" s="446"/>
      <c r="E24" s="446"/>
      <c r="F24" s="446"/>
      <c r="G24" s="446"/>
      <c r="H24" s="446"/>
      <c r="I24" s="447"/>
    </row>
    <row r="25" spans="2:9" ht="21" customHeight="1" x14ac:dyDescent="0.3">
      <c r="B25" s="445" t="s">
        <v>286</v>
      </c>
      <c r="C25" s="446"/>
      <c r="D25" s="446"/>
      <c r="E25" s="446"/>
      <c r="F25" s="446"/>
      <c r="G25" s="446"/>
      <c r="H25" s="446"/>
      <c r="I25" s="447"/>
    </row>
    <row r="26" spans="2:9" ht="21" customHeight="1" x14ac:dyDescent="0.3">
      <c r="B26" s="499" t="s">
        <v>283</v>
      </c>
      <c r="C26" s="446"/>
      <c r="D26" s="446"/>
      <c r="E26" s="446"/>
      <c r="F26" s="446"/>
      <c r="G26" s="446"/>
      <c r="H26" s="446"/>
      <c r="I26" s="447"/>
    </row>
    <row r="27" spans="2:9" ht="21" customHeight="1" x14ac:dyDescent="0.3">
      <c r="B27" s="445" t="s">
        <v>287</v>
      </c>
      <c r="C27" s="446"/>
      <c r="D27" s="446"/>
      <c r="E27" s="446"/>
      <c r="F27" s="446"/>
      <c r="G27" s="446"/>
      <c r="H27" s="446"/>
      <c r="I27" s="447"/>
    </row>
    <row r="28" spans="2:9" ht="21" customHeight="1" x14ac:dyDescent="0.3">
      <c r="B28" s="445" t="s">
        <v>284</v>
      </c>
      <c r="C28" s="446"/>
      <c r="D28" s="446"/>
      <c r="E28" s="446"/>
      <c r="F28" s="446"/>
      <c r="G28" s="446"/>
      <c r="H28" s="446"/>
      <c r="I28" s="447"/>
    </row>
    <row r="29" spans="2:9" ht="10.15" customHeight="1" x14ac:dyDescent="0.3">
      <c r="B29" s="496"/>
      <c r="C29" s="497"/>
      <c r="D29" s="497"/>
      <c r="E29" s="497"/>
      <c r="F29" s="497"/>
      <c r="G29" s="497"/>
      <c r="H29" s="497"/>
      <c r="I29" s="498"/>
    </row>
    <row r="30" spans="2:9" s="119" customFormat="1" ht="29.45" customHeight="1" x14ac:dyDescent="0.3">
      <c r="B30" s="494" t="s">
        <v>282</v>
      </c>
      <c r="C30" s="495"/>
      <c r="D30" s="495"/>
      <c r="E30" s="495"/>
      <c r="F30" s="176"/>
      <c r="G30" s="176"/>
      <c r="H30" s="169"/>
      <c r="I30" s="170"/>
    </row>
  </sheetData>
  <mergeCells count="45">
    <mergeCell ref="B30:E30"/>
    <mergeCell ref="B29:I29"/>
    <mergeCell ref="B25:I25"/>
    <mergeCell ref="B26:I26"/>
    <mergeCell ref="B27:I27"/>
    <mergeCell ref="B28:I28"/>
    <mergeCell ref="B2:I2"/>
    <mergeCell ref="B16:I16"/>
    <mergeCell ref="B9:I9"/>
    <mergeCell ref="B6:I6"/>
    <mergeCell ref="B7:E7"/>
    <mergeCell ref="B14:E14"/>
    <mergeCell ref="D5:E5"/>
    <mergeCell ref="F5:G5"/>
    <mergeCell ref="H5:I5"/>
    <mergeCell ref="D3:E3"/>
    <mergeCell ref="F3:G3"/>
    <mergeCell ref="H3:I3"/>
    <mergeCell ref="D4:E4"/>
    <mergeCell ref="F4:G4"/>
    <mergeCell ref="H4:I4"/>
    <mergeCell ref="C10:D10"/>
    <mergeCell ref="E10:F10"/>
    <mergeCell ref="G10:H10"/>
    <mergeCell ref="C11:D11"/>
    <mergeCell ref="E11:F11"/>
    <mergeCell ref="G11:H11"/>
    <mergeCell ref="C12:D12"/>
    <mergeCell ref="E12:F12"/>
    <mergeCell ref="G12:H12"/>
    <mergeCell ref="C13:D13"/>
    <mergeCell ref="E13:F13"/>
    <mergeCell ref="G13:H13"/>
    <mergeCell ref="B24:I24"/>
    <mergeCell ref="H17:I17"/>
    <mergeCell ref="H18:I18"/>
    <mergeCell ref="H19:I19"/>
    <mergeCell ref="C17:D17"/>
    <mergeCell ref="C18:D18"/>
    <mergeCell ref="C19:D19"/>
    <mergeCell ref="E17:G17"/>
    <mergeCell ref="E18:G18"/>
    <mergeCell ref="E19:G19"/>
    <mergeCell ref="B20:E20"/>
    <mergeCell ref="B22:I22"/>
  </mergeCells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9" tint="-0.249977111117893"/>
  </sheetPr>
  <dimension ref="B1:AA94"/>
  <sheetViews>
    <sheetView showGridLines="0" zoomScale="55" zoomScaleNormal="55" workbookViewId="0">
      <pane ySplit="5" topLeftCell="A6" activePane="bottomLeft" state="frozen"/>
      <selection pane="bottomLeft" activeCell="R5" sqref="R5:W46"/>
    </sheetView>
  </sheetViews>
  <sheetFormatPr defaultRowHeight="16.5" x14ac:dyDescent="0.3"/>
  <cols>
    <col min="1" max="1" width="2.375" customWidth="1"/>
    <col min="2" max="2" width="9.5" customWidth="1"/>
    <col min="3" max="3" width="40.125" bestFit="1" customWidth="1"/>
    <col min="4" max="4" width="29.125" bestFit="1" customWidth="1"/>
    <col min="5" max="7" width="6.5" bestFit="1" customWidth="1"/>
    <col min="8" max="8" width="24.875" style="1" customWidth="1"/>
    <col min="9" max="9" width="5.125" customWidth="1"/>
    <col min="10" max="10" width="8.625" bestFit="1" customWidth="1"/>
    <col min="11" max="11" width="16.25" bestFit="1" customWidth="1"/>
    <col min="12" max="12" width="29.125" bestFit="1" customWidth="1"/>
    <col min="13" max="15" width="6.5" bestFit="1" customWidth="1"/>
    <col min="16" max="16" width="24.25" customWidth="1"/>
    <col min="17" max="17" width="5.125" customWidth="1"/>
    <col min="18" max="18" width="8.625" bestFit="1" customWidth="1"/>
    <col min="19" max="19" width="37" bestFit="1" customWidth="1"/>
    <col min="20" max="20" width="29.125" bestFit="1" customWidth="1"/>
    <col min="21" max="23" width="6.5" bestFit="1" customWidth="1"/>
    <col min="24" max="24" width="37" style="1" customWidth="1"/>
    <col min="27" max="27" width="23.75" customWidth="1"/>
  </cols>
  <sheetData>
    <row r="1" spans="2:24" ht="11.25" customHeight="1" x14ac:dyDescent="0.3"/>
    <row r="2" spans="2:24" ht="24.75" customHeight="1" x14ac:dyDescent="0.3">
      <c r="B2" s="14" t="s">
        <v>55</v>
      </c>
      <c r="P2" s="1" t="s">
        <v>60</v>
      </c>
    </row>
    <row r="3" spans="2:24" ht="11.25" customHeight="1" x14ac:dyDescent="0.3">
      <c r="P3" s="1"/>
    </row>
    <row r="4" spans="2:24" ht="30" customHeight="1" x14ac:dyDescent="0.3">
      <c r="B4" s="500" t="s">
        <v>38</v>
      </c>
      <c r="C4" s="500"/>
      <c r="D4" s="500"/>
      <c r="E4" s="500"/>
      <c r="F4" s="500"/>
      <c r="G4" s="500"/>
      <c r="H4" s="52" t="s">
        <v>59</v>
      </c>
      <c r="J4" s="501" t="s">
        <v>46</v>
      </c>
      <c r="K4" s="501"/>
      <c r="L4" s="501"/>
      <c r="M4" s="501"/>
      <c r="N4" s="501"/>
      <c r="O4" s="501"/>
      <c r="P4" s="52" t="s">
        <v>59</v>
      </c>
      <c r="R4" s="502" t="s">
        <v>50</v>
      </c>
      <c r="S4" s="502"/>
      <c r="T4" s="502"/>
      <c r="U4" s="502"/>
      <c r="V4" s="502"/>
      <c r="W4" s="502"/>
      <c r="X4" s="78" t="s">
        <v>61</v>
      </c>
    </row>
    <row r="5" spans="2:24" ht="18.75" customHeight="1" x14ac:dyDescent="0.3">
      <c r="B5" s="230" t="s">
        <v>11</v>
      </c>
      <c r="C5" s="230" t="s">
        <v>2</v>
      </c>
      <c r="D5" s="230" t="s">
        <v>12</v>
      </c>
      <c r="E5" s="230" t="s">
        <v>4</v>
      </c>
      <c r="F5" s="230" t="s">
        <v>6</v>
      </c>
      <c r="G5" s="230" t="s">
        <v>13</v>
      </c>
      <c r="H5" s="16" t="s">
        <v>58</v>
      </c>
      <c r="J5" s="230" t="s">
        <v>11</v>
      </c>
      <c r="K5" s="230" t="s">
        <v>2</v>
      </c>
      <c r="L5" s="230" t="s">
        <v>12</v>
      </c>
      <c r="M5" s="230" t="s">
        <v>4</v>
      </c>
      <c r="N5" s="230" t="s">
        <v>6</v>
      </c>
      <c r="O5" s="230" t="s">
        <v>13</v>
      </c>
      <c r="P5" s="17" t="s">
        <v>58</v>
      </c>
      <c r="R5" s="230" t="s">
        <v>11</v>
      </c>
      <c r="S5" s="230" t="s">
        <v>2</v>
      </c>
      <c r="T5" s="230" t="s">
        <v>12</v>
      </c>
      <c r="U5" s="230" t="s">
        <v>4</v>
      </c>
      <c r="V5" s="230" t="s">
        <v>6</v>
      </c>
      <c r="W5" s="230" t="s">
        <v>13</v>
      </c>
      <c r="X5" s="16" t="s">
        <v>58</v>
      </c>
    </row>
    <row r="6" spans="2:24" ht="18.75" customHeight="1" x14ac:dyDescent="0.3">
      <c r="B6" s="116" t="s">
        <v>1</v>
      </c>
      <c r="C6" s="116" t="s">
        <v>18</v>
      </c>
      <c r="D6" s="116" t="s">
        <v>323</v>
      </c>
      <c r="E6" s="116">
        <v>12</v>
      </c>
      <c r="F6" s="116">
        <v>18</v>
      </c>
      <c r="G6" s="116"/>
      <c r="H6" s="15" t="str">
        <f>SUBSTITUTE($C6, " (초이스선택가능)","")</f>
        <v>5G 초이스 스페셜</v>
      </c>
      <c r="J6" s="116" t="s">
        <v>0</v>
      </c>
      <c r="K6" s="116" t="s">
        <v>39</v>
      </c>
      <c r="L6" s="116" t="s">
        <v>323</v>
      </c>
      <c r="M6" s="116">
        <v>22</v>
      </c>
      <c r="N6" s="116">
        <v>30</v>
      </c>
      <c r="O6" s="116"/>
      <c r="P6" s="19" t="str">
        <f>SUBSTITUTE($K6, "(초이스선택가능)","")</f>
        <v>5GX 프리미엄</v>
      </c>
      <c r="R6" s="116" t="s">
        <v>47</v>
      </c>
      <c r="S6" s="116" t="s">
        <v>363</v>
      </c>
      <c r="T6" s="116" t="s">
        <v>323</v>
      </c>
      <c r="U6" s="116">
        <v>-6</v>
      </c>
      <c r="V6" s="116">
        <v>7</v>
      </c>
      <c r="W6" s="116"/>
      <c r="X6" s="15" t="s">
        <v>362</v>
      </c>
    </row>
    <row r="7" spans="2:24" ht="18.75" customHeight="1" x14ac:dyDescent="0.3">
      <c r="B7" s="116" t="s">
        <v>1</v>
      </c>
      <c r="C7" s="116" t="s">
        <v>18</v>
      </c>
      <c r="D7" s="116" t="s">
        <v>324</v>
      </c>
      <c r="E7" s="116">
        <v>38</v>
      </c>
      <c r="F7" s="116">
        <v>49</v>
      </c>
      <c r="G7" s="116"/>
      <c r="H7" s="15" t="str">
        <f t="shared" ref="H7:H70" si="0">SUBSTITUTE($C7, " (초이스선택가능)","")</f>
        <v>5G 초이스 스페셜</v>
      </c>
      <c r="J7" s="116" t="s">
        <v>0</v>
      </c>
      <c r="K7" s="116" t="s">
        <v>39</v>
      </c>
      <c r="L7" s="116" t="s">
        <v>324</v>
      </c>
      <c r="M7" s="116">
        <v>47</v>
      </c>
      <c r="N7" s="116">
        <v>54</v>
      </c>
      <c r="O7" s="116"/>
      <c r="P7" s="19" t="str">
        <f t="shared" ref="P7:P70" si="1">SUBSTITUTE($K7, "(초이스선택가능)","")</f>
        <v>5GX 프리미엄</v>
      </c>
      <c r="R7" s="116" t="s">
        <v>47</v>
      </c>
      <c r="S7" s="116" t="s">
        <v>363</v>
      </c>
      <c r="T7" s="116" t="s">
        <v>324</v>
      </c>
      <c r="U7" s="116">
        <v>18</v>
      </c>
      <c r="V7" s="116">
        <v>67</v>
      </c>
      <c r="W7" s="116"/>
      <c r="X7" s="15" t="s">
        <v>362</v>
      </c>
    </row>
    <row r="8" spans="2:24" ht="18.75" customHeight="1" x14ac:dyDescent="0.3">
      <c r="B8" s="116" t="s">
        <v>1</v>
      </c>
      <c r="C8" s="116" t="s">
        <v>18</v>
      </c>
      <c r="D8" s="116" t="s">
        <v>325</v>
      </c>
      <c r="E8" s="116">
        <v>32</v>
      </c>
      <c r="F8" s="116">
        <v>38</v>
      </c>
      <c r="G8" s="116"/>
      <c r="H8" s="15" t="str">
        <f t="shared" si="0"/>
        <v>5G 초이스 스페셜</v>
      </c>
      <c r="J8" s="116" t="s">
        <v>0</v>
      </c>
      <c r="K8" s="116" t="s">
        <v>39</v>
      </c>
      <c r="L8" s="116" t="s">
        <v>325</v>
      </c>
      <c r="M8" s="116">
        <v>42</v>
      </c>
      <c r="N8" s="116">
        <v>50</v>
      </c>
      <c r="O8" s="116"/>
      <c r="P8" s="19" t="str">
        <f t="shared" si="1"/>
        <v>5GX 프리미엄</v>
      </c>
      <c r="R8" s="116" t="s">
        <v>47</v>
      </c>
      <c r="S8" s="116" t="s">
        <v>363</v>
      </c>
      <c r="T8" s="116" t="s">
        <v>325</v>
      </c>
      <c r="U8" s="116">
        <v>13</v>
      </c>
      <c r="V8" s="116">
        <v>27</v>
      </c>
      <c r="W8" s="116"/>
      <c r="X8" s="15" t="s">
        <v>362</v>
      </c>
    </row>
    <row r="9" spans="2:24" ht="18.75" customHeight="1" x14ac:dyDescent="0.3">
      <c r="B9" s="116" t="s">
        <v>1</v>
      </c>
      <c r="C9" s="116" t="s">
        <v>18</v>
      </c>
      <c r="D9" s="116" t="s">
        <v>326</v>
      </c>
      <c r="E9" s="116">
        <v>57</v>
      </c>
      <c r="F9" s="116">
        <v>68</v>
      </c>
      <c r="G9" s="116"/>
      <c r="H9" s="15" t="str">
        <f t="shared" si="0"/>
        <v>5G 초이스 스페셜</v>
      </c>
      <c r="J9" s="116" t="s">
        <v>0</v>
      </c>
      <c r="K9" s="116" t="s">
        <v>39</v>
      </c>
      <c r="L9" s="116" t="s">
        <v>326</v>
      </c>
      <c r="M9" s="116">
        <v>67</v>
      </c>
      <c r="N9" s="116">
        <v>65</v>
      </c>
      <c r="O9" s="116"/>
      <c r="P9" s="19" t="str">
        <f t="shared" si="1"/>
        <v>5GX 프리미엄</v>
      </c>
      <c r="R9" s="116" t="s">
        <v>47</v>
      </c>
      <c r="S9" s="116" t="s">
        <v>363</v>
      </c>
      <c r="T9" s="116" t="s">
        <v>326</v>
      </c>
      <c r="U9" s="116">
        <v>38</v>
      </c>
      <c r="V9" s="116">
        <v>58</v>
      </c>
      <c r="W9" s="116"/>
      <c r="X9" s="15" t="s">
        <v>362</v>
      </c>
    </row>
    <row r="10" spans="2:24" ht="18.75" customHeight="1" x14ac:dyDescent="0.3">
      <c r="B10" s="116" t="s">
        <v>1</v>
      </c>
      <c r="C10" s="116" t="s">
        <v>18</v>
      </c>
      <c r="D10" s="116" t="s">
        <v>327</v>
      </c>
      <c r="E10" s="116">
        <v>67</v>
      </c>
      <c r="F10" s="116">
        <v>72</v>
      </c>
      <c r="G10" s="116"/>
      <c r="H10" s="15" t="str">
        <f t="shared" si="0"/>
        <v>5G 초이스 스페셜</v>
      </c>
      <c r="J10" s="116" t="s">
        <v>0</v>
      </c>
      <c r="K10" s="116" t="s">
        <v>39</v>
      </c>
      <c r="L10" s="116" t="s">
        <v>327</v>
      </c>
      <c r="M10" s="116">
        <v>76</v>
      </c>
      <c r="N10" s="116">
        <v>84</v>
      </c>
      <c r="O10" s="116"/>
      <c r="P10" s="19" t="str">
        <f t="shared" si="1"/>
        <v>5GX 프리미엄</v>
      </c>
      <c r="R10" s="116" t="s">
        <v>47</v>
      </c>
      <c r="S10" s="116" t="s">
        <v>363</v>
      </c>
      <c r="T10" s="116" t="s">
        <v>327</v>
      </c>
      <c r="U10" s="116">
        <v>47</v>
      </c>
      <c r="V10" s="116">
        <v>62</v>
      </c>
      <c r="W10" s="116"/>
      <c r="X10" s="15" t="s">
        <v>362</v>
      </c>
    </row>
    <row r="11" spans="2:24" ht="18.75" customHeight="1" x14ac:dyDescent="0.3">
      <c r="B11" s="116" t="s">
        <v>1</v>
      </c>
      <c r="C11" s="116" t="s">
        <v>18</v>
      </c>
      <c r="D11" s="116" t="s">
        <v>328</v>
      </c>
      <c r="E11" s="116">
        <v>92</v>
      </c>
      <c r="F11" s="116">
        <v>104</v>
      </c>
      <c r="G11" s="116"/>
      <c r="H11" s="15" t="str">
        <f t="shared" si="0"/>
        <v>5G 초이스 스페셜</v>
      </c>
      <c r="J11" s="116" t="s">
        <v>0</v>
      </c>
      <c r="K11" s="116" t="s">
        <v>39</v>
      </c>
      <c r="L11" s="116" t="s">
        <v>328</v>
      </c>
      <c r="M11" s="116">
        <v>102</v>
      </c>
      <c r="N11" s="116">
        <v>114</v>
      </c>
      <c r="O11" s="116"/>
      <c r="P11" s="19" t="str">
        <f t="shared" si="1"/>
        <v>5GX 프리미엄</v>
      </c>
      <c r="R11" s="116" t="s">
        <v>47</v>
      </c>
      <c r="S11" s="116" t="s">
        <v>363</v>
      </c>
      <c r="T11" s="116" t="s">
        <v>328</v>
      </c>
      <c r="U11" s="116">
        <v>73</v>
      </c>
      <c r="V11" s="116">
        <v>93</v>
      </c>
      <c r="W11" s="116"/>
      <c r="X11" s="15" t="s">
        <v>362</v>
      </c>
    </row>
    <row r="12" spans="2:24" ht="18.75" customHeight="1" x14ac:dyDescent="0.3">
      <c r="B12" s="116" t="s">
        <v>1</v>
      </c>
      <c r="C12" s="116" t="s">
        <v>18</v>
      </c>
      <c r="D12" s="116" t="s">
        <v>121</v>
      </c>
      <c r="E12" s="116">
        <v>33</v>
      </c>
      <c r="F12" s="116">
        <v>55</v>
      </c>
      <c r="G12" s="116"/>
      <c r="H12" s="15" t="str">
        <f t="shared" si="0"/>
        <v>5G 초이스 스페셜</v>
      </c>
      <c r="J12" s="116" t="s">
        <v>0</v>
      </c>
      <c r="K12" s="116" t="s">
        <v>39</v>
      </c>
      <c r="L12" s="116" t="s">
        <v>121</v>
      </c>
      <c r="M12" s="116">
        <v>42</v>
      </c>
      <c r="N12" s="116">
        <v>77</v>
      </c>
      <c r="O12" s="116"/>
      <c r="P12" s="19" t="str">
        <f t="shared" si="1"/>
        <v>5GX 프리미엄</v>
      </c>
      <c r="R12" s="116" t="s">
        <v>47</v>
      </c>
      <c r="S12" s="116" t="s">
        <v>363</v>
      </c>
      <c r="T12" s="116" t="s">
        <v>121</v>
      </c>
      <c r="U12" s="116">
        <v>52</v>
      </c>
      <c r="V12" s="116">
        <v>64</v>
      </c>
      <c r="W12" s="116"/>
      <c r="X12" s="15" t="s">
        <v>362</v>
      </c>
    </row>
    <row r="13" spans="2:24" ht="18.75" customHeight="1" x14ac:dyDescent="0.3">
      <c r="B13" s="116" t="s">
        <v>1</v>
      </c>
      <c r="C13" s="116" t="s">
        <v>18</v>
      </c>
      <c r="D13" s="116" t="s">
        <v>122</v>
      </c>
      <c r="E13" s="116">
        <v>128</v>
      </c>
      <c r="F13" s="116">
        <v>142</v>
      </c>
      <c r="G13" s="116"/>
      <c r="H13" s="15" t="str">
        <f t="shared" si="0"/>
        <v>5G 초이스 스페셜</v>
      </c>
      <c r="J13" s="116" t="s">
        <v>0</v>
      </c>
      <c r="K13" s="116" t="s">
        <v>39</v>
      </c>
      <c r="L13" s="116" t="s">
        <v>122</v>
      </c>
      <c r="M13" s="116">
        <v>135</v>
      </c>
      <c r="N13" s="116">
        <v>164</v>
      </c>
      <c r="O13" s="116"/>
      <c r="P13" s="19" t="str">
        <f t="shared" si="1"/>
        <v>5GX 프리미엄</v>
      </c>
      <c r="R13" s="116" t="s">
        <v>47</v>
      </c>
      <c r="S13" s="116" t="s">
        <v>363</v>
      </c>
      <c r="T13" s="116" t="s">
        <v>122</v>
      </c>
      <c r="U13" s="116">
        <v>134</v>
      </c>
      <c r="V13" s="116">
        <v>128</v>
      </c>
      <c r="W13" s="116"/>
      <c r="X13" s="15" t="s">
        <v>362</v>
      </c>
    </row>
    <row r="14" spans="2:24" ht="18.75" customHeight="1" x14ac:dyDescent="0.3">
      <c r="B14" s="116" t="s">
        <v>1</v>
      </c>
      <c r="C14" s="116" t="s">
        <v>18</v>
      </c>
      <c r="D14" s="116" t="s">
        <v>40</v>
      </c>
      <c r="E14" s="116">
        <v>18</v>
      </c>
      <c r="F14" s="116">
        <v>16</v>
      </c>
      <c r="G14" s="116"/>
      <c r="H14" s="15" t="str">
        <f t="shared" si="0"/>
        <v>5G 초이스 스페셜</v>
      </c>
      <c r="J14" s="116" t="s">
        <v>0</v>
      </c>
      <c r="K14" s="116" t="s">
        <v>39</v>
      </c>
      <c r="L14" s="116" t="s">
        <v>40</v>
      </c>
      <c r="M14" s="116">
        <v>22</v>
      </c>
      <c r="N14" s="116">
        <v>29</v>
      </c>
      <c r="O14" s="116"/>
      <c r="P14" s="19" t="str">
        <f t="shared" si="1"/>
        <v>5GX 프리미엄</v>
      </c>
      <c r="R14" s="116" t="s">
        <v>47</v>
      </c>
      <c r="S14" s="116" t="s">
        <v>363</v>
      </c>
      <c r="T14" s="116" t="s">
        <v>40</v>
      </c>
      <c r="U14" s="116">
        <v>19</v>
      </c>
      <c r="V14" s="116">
        <v>20</v>
      </c>
      <c r="W14" s="116"/>
      <c r="X14" s="15" t="s">
        <v>362</v>
      </c>
    </row>
    <row r="15" spans="2:24" ht="18.75" customHeight="1" x14ac:dyDescent="0.3">
      <c r="B15" s="116" t="s">
        <v>1</v>
      </c>
      <c r="C15" s="116" t="s">
        <v>18</v>
      </c>
      <c r="D15" s="116" t="s">
        <v>167</v>
      </c>
      <c r="E15" s="116">
        <v>6</v>
      </c>
      <c r="F15" s="116">
        <v>15</v>
      </c>
      <c r="G15" s="116"/>
      <c r="H15" s="15" t="str">
        <f t="shared" si="0"/>
        <v>5G 초이스 스페셜</v>
      </c>
      <c r="J15" s="116" t="s">
        <v>0</v>
      </c>
      <c r="K15" s="116" t="s">
        <v>39</v>
      </c>
      <c r="L15" s="116" t="s">
        <v>15</v>
      </c>
      <c r="M15" s="116">
        <v>11</v>
      </c>
      <c r="N15" s="116">
        <v>47</v>
      </c>
      <c r="O15" s="116"/>
      <c r="P15" s="19" t="str">
        <f t="shared" si="1"/>
        <v>5GX 프리미엄</v>
      </c>
      <c r="R15" s="116" t="s">
        <v>47</v>
      </c>
      <c r="S15" s="116" t="s">
        <v>363</v>
      </c>
      <c r="T15" s="116" t="s">
        <v>15</v>
      </c>
      <c r="U15" s="116">
        <v>17</v>
      </c>
      <c r="V15" s="116">
        <v>25</v>
      </c>
      <c r="W15" s="116"/>
      <c r="X15" s="15" t="s">
        <v>362</v>
      </c>
    </row>
    <row r="16" spans="2:24" ht="18.75" customHeight="1" x14ac:dyDescent="0.3">
      <c r="B16" s="116" t="s">
        <v>1</v>
      </c>
      <c r="C16" s="116" t="s">
        <v>18</v>
      </c>
      <c r="D16" s="116" t="s">
        <v>15</v>
      </c>
      <c r="E16" s="116">
        <v>-2</v>
      </c>
      <c r="F16" s="116">
        <v>-1</v>
      </c>
      <c r="G16" s="116"/>
      <c r="H16" s="15" t="str">
        <f t="shared" si="0"/>
        <v>5G 초이스 스페셜</v>
      </c>
      <c r="J16" s="116" t="s">
        <v>0</v>
      </c>
      <c r="K16" s="116" t="s">
        <v>39</v>
      </c>
      <c r="L16" s="116" t="s">
        <v>16</v>
      </c>
      <c r="M16" s="116">
        <v>31</v>
      </c>
      <c r="N16" s="116">
        <v>70</v>
      </c>
      <c r="O16" s="116"/>
      <c r="P16" s="19" t="str">
        <f t="shared" si="1"/>
        <v>5GX 프리미엄</v>
      </c>
      <c r="R16" s="116" t="s">
        <v>47</v>
      </c>
      <c r="S16" s="116" t="s">
        <v>363</v>
      </c>
      <c r="T16" s="116" t="s">
        <v>16</v>
      </c>
      <c r="U16" s="116">
        <v>39</v>
      </c>
      <c r="V16" s="116">
        <v>51</v>
      </c>
      <c r="W16" s="116"/>
      <c r="X16" s="15" t="s">
        <v>362</v>
      </c>
    </row>
    <row r="17" spans="2:27" ht="18.75" customHeight="1" x14ac:dyDescent="0.3">
      <c r="B17" s="116" t="s">
        <v>1</v>
      </c>
      <c r="C17" s="116" t="s">
        <v>18</v>
      </c>
      <c r="D17" s="116" t="s">
        <v>306</v>
      </c>
      <c r="E17" s="116">
        <v>-22</v>
      </c>
      <c r="F17" s="116">
        <v>-19</v>
      </c>
      <c r="G17" s="116"/>
      <c r="H17" s="15" t="str">
        <f t="shared" si="0"/>
        <v>5G 초이스 스페셜</v>
      </c>
      <c r="J17" s="116" t="s">
        <v>0</v>
      </c>
      <c r="K17" s="116" t="s">
        <v>39</v>
      </c>
      <c r="L17" s="116" t="s">
        <v>17</v>
      </c>
      <c r="M17" s="116">
        <v>65</v>
      </c>
      <c r="N17" s="116">
        <v>101</v>
      </c>
      <c r="O17" s="116"/>
      <c r="P17" s="19" t="str">
        <f t="shared" si="1"/>
        <v>5GX 프리미엄</v>
      </c>
      <c r="R17" s="116" t="s">
        <v>47</v>
      </c>
      <c r="S17" s="116" t="s">
        <v>363</v>
      </c>
      <c r="T17" s="116" t="s">
        <v>17</v>
      </c>
      <c r="U17" s="116">
        <v>72</v>
      </c>
      <c r="V17" s="116">
        <v>80</v>
      </c>
      <c r="W17" s="116"/>
      <c r="X17" s="15" t="s">
        <v>362</v>
      </c>
    </row>
    <row r="18" spans="2:27" ht="18.75" customHeight="1" x14ac:dyDescent="0.3">
      <c r="B18" s="116" t="s">
        <v>1</v>
      </c>
      <c r="C18" s="116" t="s">
        <v>18</v>
      </c>
      <c r="D18" s="116" t="s">
        <v>16</v>
      </c>
      <c r="E18" s="116">
        <v>18</v>
      </c>
      <c r="F18" s="116">
        <v>19</v>
      </c>
      <c r="G18" s="116"/>
      <c r="H18" s="15" t="str">
        <f t="shared" si="0"/>
        <v>5G 초이스 스페셜</v>
      </c>
      <c r="J18" s="116" t="s">
        <v>0</v>
      </c>
      <c r="K18" s="116" t="s">
        <v>39</v>
      </c>
      <c r="L18" s="116" t="s">
        <v>187</v>
      </c>
      <c r="M18" s="116">
        <v>-19</v>
      </c>
      <c r="N18" s="116">
        <v>1</v>
      </c>
      <c r="O18" s="116"/>
      <c r="P18" s="19" t="str">
        <f t="shared" si="1"/>
        <v>5GX 프리미엄</v>
      </c>
      <c r="R18" s="116" t="s">
        <v>47</v>
      </c>
      <c r="S18" s="116" t="s">
        <v>363</v>
      </c>
      <c r="T18" s="116" t="s">
        <v>187</v>
      </c>
      <c r="U18" s="116">
        <v>-24</v>
      </c>
      <c r="V18" s="116">
        <v>10</v>
      </c>
      <c r="W18" s="116"/>
      <c r="X18" s="15" t="s">
        <v>362</v>
      </c>
    </row>
    <row r="19" spans="2:27" ht="18.75" customHeight="1" x14ac:dyDescent="0.3">
      <c r="B19" s="116" t="s">
        <v>1</v>
      </c>
      <c r="C19" s="116" t="s">
        <v>18</v>
      </c>
      <c r="D19" s="116" t="s">
        <v>307</v>
      </c>
      <c r="E19" s="116">
        <v>-8</v>
      </c>
      <c r="F19" s="116">
        <v>-7</v>
      </c>
      <c r="G19" s="116"/>
      <c r="H19" s="15" t="str">
        <f t="shared" si="0"/>
        <v>5G 초이스 스페셜</v>
      </c>
      <c r="J19" s="116" t="s">
        <v>0</v>
      </c>
      <c r="K19" s="116" t="s">
        <v>39</v>
      </c>
      <c r="L19" s="116" t="s">
        <v>237</v>
      </c>
      <c r="M19" s="116">
        <v>-18</v>
      </c>
      <c r="N19" s="116">
        <v>-15</v>
      </c>
      <c r="O19" s="116"/>
      <c r="P19" s="19" t="str">
        <f t="shared" si="1"/>
        <v>5GX 프리미엄</v>
      </c>
      <c r="R19" s="116" t="s">
        <v>47</v>
      </c>
      <c r="S19" s="116" t="s">
        <v>363</v>
      </c>
      <c r="T19" s="116" t="s">
        <v>29</v>
      </c>
      <c r="U19" s="116">
        <v>47</v>
      </c>
      <c r="V19" s="116">
        <v>47</v>
      </c>
      <c r="W19" s="116"/>
      <c r="X19" s="15" t="s">
        <v>364</v>
      </c>
    </row>
    <row r="20" spans="2:27" ht="18.75" customHeight="1" x14ac:dyDescent="0.3">
      <c r="B20" s="116" t="s">
        <v>1</v>
      </c>
      <c r="C20" s="116" t="s">
        <v>18</v>
      </c>
      <c r="D20" s="116" t="s">
        <v>17</v>
      </c>
      <c r="E20" s="116">
        <v>53</v>
      </c>
      <c r="F20" s="116">
        <v>54</v>
      </c>
      <c r="G20" s="116"/>
      <c r="H20" s="15" t="str">
        <f t="shared" si="0"/>
        <v>5G 초이스 스페셜</v>
      </c>
      <c r="J20" s="116" t="s">
        <v>0</v>
      </c>
      <c r="K20" s="116" t="s">
        <v>334</v>
      </c>
      <c r="L20" s="116" t="s">
        <v>335</v>
      </c>
      <c r="M20" s="116">
        <v>14</v>
      </c>
      <c r="N20" s="116">
        <v>35</v>
      </c>
      <c r="O20" s="116"/>
      <c r="P20" s="19" t="str">
        <f t="shared" si="1"/>
        <v>ZEM플랜 베스트</v>
      </c>
      <c r="R20" s="116" t="s">
        <v>47</v>
      </c>
      <c r="S20" s="116" t="s">
        <v>363</v>
      </c>
      <c r="T20" s="116" t="s">
        <v>170</v>
      </c>
      <c r="U20" s="116">
        <v>11</v>
      </c>
      <c r="V20" s="116">
        <v>50</v>
      </c>
      <c r="W20" s="116"/>
      <c r="X20" s="15" t="s">
        <v>362</v>
      </c>
    </row>
    <row r="21" spans="2:27" ht="18.75" customHeight="1" x14ac:dyDescent="0.3">
      <c r="B21" s="116" t="s">
        <v>1</v>
      </c>
      <c r="C21" s="116" t="s">
        <v>18</v>
      </c>
      <c r="D21" s="116" t="s">
        <v>181</v>
      </c>
      <c r="E21" s="116">
        <v>25</v>
      </c>
      <c r="F21" s="116">
        <v>28</v>
      </c>
      <c r="G21" s="116"/>
      <c r="H21" s="15" t="str">
        <f t="shared" si="0"/>
        <v>5G 초이스 스페셜</v>
      </c>
      <c r="J21" s="116" t="s">
        <v>0</v>
      </c>
      <c r="K21" s="116" t="s">
        <v>39</v>
      </c>
      <c r="L21" s="116" t="s">
        <v>170</v>
      </c>
      <c r="M21" s="116">
        <v>40</v>
      </c>
      <c r="N21" s="116">
        <v>64</v>
      </c>
      <c r="O21" s="116"/>
      <c r="P21" s="19" t="str">
        <f t="shared" si="1"/>
        <v>5GX 프리미엄</v>
      </c>
      <c r="R21" s="116" t="s">
        <v>47</v>
      </c>
      <c r="S21" s="116" t="s">
        <v>363</v>
      </c>
      <c r="T21" s="116" t="s">
        <v>171</v>
      </c>
      <c r="U21" s="116">
        <v>42</v>
      </c>
      <c r="V21" s="116">
        <v>79</v>
      </c>
      <c r="W21" s="116"/>
      <c r="X21" s="15" t="s">
        <v>362</v>
      </c>
    </row>
    <row r="22" spans="2:27" ht="18.75" customHeight="1" x14ac:dyDescent="0.3">
      <c r="B22" s="116" t="s">
        <v>1</v>
      </c>
      <c r="C22" s="116" t="s">
        <v>14</v>
      </c>
      <c r="D22" s="116" t="s">
        <v>294</v>
      </c>
      <c r="E22" s="116">
        <v>-31</v>
      </c>
      <c r="F22" s="116">
        <v>-28</v>
      </c>
      <c r="G22" s="116"/>
      <c r="H22" s="15" t="str">
        <f t="shared" si="0"/>
        <v>5G 초이스 베이직</v>
      </c>
      <c r="J22" s="116" t="s">
        <v>0</v>
      </c>
      <c r="K22" s="116" t="s">
        <v>39</v>
      </c>
      <c r="L22" s="116" t="s">
        <v>171</v>
      </c>
      <c r="M22" s="116">
        <v>70</v>
      </c>
      <c r="N22" s="116">
        <v>94</v>
      </c>
      <c r="O22" s="116"/>
      <c r="P22" s="19" t="str">
        <f t="shared" si="1"/>
        <v>5GX 프리미엄</v>
      </c>
      <c r="R22" s="116" t="s">
        <v>47</v>
      </c>
      <c r="S22" s="116" t="s">
        <v>363</v>
      </c>
      <c r="T22" s="116" t="s">
        <v>172</v>
      </c>
      <c r="U22" s="116">
        <v>-18</v>
      </c>
      <c r="V22" s="116">
        <v>77</v>
      </c>
      <c r="W22" s="116"/>
      <c r="X22" s="15" t="s">
        <v>362</v>
      </c>
    </row>
    <row r="23" spans="2:27" ht="18.75" customHeight="1" x14ac:dyDescent="0.3">
      <c r="B23" s="116" t="s">
        <v>1</v>
      </c>
      <c r="C23" s="116" t="s">
        <v>14</v>
      </c>
      <c r="D23" s="116" t="s">
        <v>20</v>
      </c>
      <c r="E23" s="116">
        <v>62</v>
      </c>
      <c r="F23" s="116">
        <v>65</v>
      </c>
      <c r="G23" s="116"/>
      <c r="H23" s="15" t="str">
        <f t="shared" si="0"/>
        <v>5G 초이스 베이직</v>
      </c>
      <c r="J23" s="116" t="s">
        <v>0</v>
      </c>
      <c r="K23" s="116" t="s">
        <v>39</v>
      </c>
      <c r="L23" s="116" t="s">
        <v>172</v>
      </c>
      <c r="M23" s="116">
        <v>65</v>
      </c>
      <c r="N23" s="116">
        <v>82</v>
      </c>
      <c r="O23" s="116"/>
      <c r="P23" s="19" t="str">
        <f t="shared" si="1"/>
        <v>5GX 프리미엄</v>
      </c>
      <c r="R23" s="116" t="s">
        <v>47</v>
      </c>
      <c r="S23" s="116" t="s">
        <v>363</v>
      </c>
      <c r="T23" s="116" t="s">
        <v>173</v>
      </c>
      <c r="U23" s="116">
        <v>10</v>
      </c>
      <c r="V23" s="116">
        <v>107</v>
      </c>
      <c r="W23" s="116"/>
      <c r="X23" s="15" t="s">
        <v>364</v>
      </c>
    </row>
    <row r="24" spans="2:27" ht="18.75" customHeight="1" x14ac:dyDescent="0.3">
      <c r="B24" s="116" t="s">
        <v>1</v>
      </c>
      <c r="C24" s="116" t="s">
        <v>14</v>
      </c>
      <c r="D24" s="116" t="s">
        <v>331</v>
      </c>
      <c r="E24" s="116">
        <v>78</v>
      </c>
      <c r="F24" s="116">
        <v>81</v>
      </c>
      <c r="G24" s="116"/>
      <c r="H24" s="15" t="str">
        <f t="shared" si="0"/>
        <v>5G 초이스 베이직</v>
      </c>
      <c r="J24" s="116" t="s">
        <v>0</v>
      </c>
      <c r="K24" s="116" t="s">
        <v>39</v>
      </c>
      <c r="L24" s="116" t="s">
        <v>173</v>
      </c>
      <c r="M24" s="116">
        <v>95</v>
      </c>
      <c r="N24" s="116">
        <v>112</v>
      </c>
      <c r="O24" s="116"/>
      <c r="P24" s="19" t="str">
        <f t="shared" si="1"/>
        <v>5GX 프리미엄</v>
      </c>
      <c r="R24" s="116" t="s">
        <v>47</v>
      </c>
      <c r="S24" s="116" t="s">
        <v>363</v>
      </c>
      <c r="T24" s="116" t="s">
        <v>174</v>
      </c>
      <c r="U24" s="116">
        <v>61</v>
      </c>
      <c r="V24" s="116">
        <v>99</v>
      </c>
      <c r="W24" s="116"/>
      <c r="X24" s="15" t="s">
        <v>364</v>
      </c>
    </row>
    <row r="25" spans="2:27" ht="18.75" customHeight="1" x14ac:dyDescent="0.3">
      <c r="B25" s="116" t="s">
        <v>1</v>
      </c>
      <c r="C25" s="116" t="s">
        <v>14</v>
      </c>
      <c r="D25" s="116" t="s">
        <v>295</v>
      </c>
      <c r="E25" s="116">
        <v>14</v>
      </c>
      <c r="F25" s="116">
        <v>17</v>
      </c>
      <c r="G25" s="116"/>
      <c r="H25" s="15" t="str">
        <f t="shared" si="0"/>
        <v>5G 초이스 베이직</v>
      </c>
      <c r="J25" s="116" t="s">
        <v>0</v>
      </c>
      <c r="K25" s="116" t="s">
        <v>39</v>
      </c>
      <c r="L25" s="116" t="s">
        <v>174</v>
      </c>
      <c r="M25" s="116">
        <v>90</v>
      </c>
      <c r="N25" s="116">
        <v>114</v>
      </c>
      <c r="O25" s="116"/>
      <c r="P25" s="19" t="str">
        <f t="shared" si="1"/>
        <v>5GX 프리미엄</v>
      </c>
      <c r="R25" s="116" t="s">
        <v>47</v>
      </c>
      <c r="S25" s="116" t="s">
        <v>363</v>
      </c>
      <c r="T25" s="116" t="s">
        <v>175</v>
      </c>
      <c r="U25" s="116">
        <v>91</v>
      </c>
      <c r="V25" s="116">
        <v>130</v>
      </c>
      <c r="W25" s="116"/>
      <c r="X25" s="15" t="s">
        <v>364</v>
      </c>
    </row>
    <row r="26" spans="2:27" ht="18.75" customHeight="1" x14ac:dyDescent="0.3">
      <c r="B26" s="116" t="s">
        <v>1</v>
      </c>
      <c r="C26" s="116" t="s">
        <v>26</v>
      </c>
      <c r="D26" s="116" t="s">
        <v>187</v>
      </c>
      <c r="E26" s="116">
        <v>-19</v>
      </c>
      <c r="F26" s="116">
        <v>0</v>
      </c>
      <c r="G26" s="116"/>
      <c r="H26" s="15" t="str">
        <f t="shared" si="0"/>
        <v>5G심플110GB</v>
      </c>
      <c r="J26" s="116" t="s">
        <v>0</v>
      </c>
      <c r="K26" s="116" t="s">
        <v>39</v>
      </c>
      <c r="L26" s="116" t="s">
        <v>175</v>
      </c>
      <c r="M26" s="116">
        <v>113</v>
      </c>
      <c r="N26" s="116">
        <v>144</v>
      </c>
      <c r="O26" s="116"/>
      <c r="P26" s="19" t="str">
        <f t="shared" si="1"/>
        <v>5GX 프리미엄</v>
      </c>
      <c r="R26" s="116" t="s">
        <v>47</v>
      </c>
      <c r="S26" s="116" t="s">
        <v>363</v>
      </c>
      <c r="T26" s="116" t="s">
        <v>176</v>
      </c>
      <c r="U26" s="116">
        <v>115</v>
      </c>
      <c r="V26" s="116">
        <v>146</v>
      </c>
      <c r="W26" s="116"/>
      <c r="X26" s="15" t="s">
        <v>364</v>
      </c>
    </row>
    <row r="27" spans="2:27" ht="18.75" customHeight="1" x14ac:dyDescent="0.3">
      <c r="B27" s="116" t="s">
        <v>1</v>
      </c>
      <c r="C27" s="116" t="s">
        <v>18</v>
      </c>
      <c r="D27" s="116" t="s">
        <v>170</v>
      </c>
      <c r="E27" s="116">
        <v>15</v>
      </c>
      <c r="F27" s="116">
        <v>37</v>
      </c>
      <c r="G27" s="116"/>
      <c r="H27" s="15" t="str">
        <f t="shared" si="0"/>
        <v>5G 초이스 스페셜</v>
      </c>
      <c r="J27" s="116" t="s">
        <v>0</v>
      </c>
      <c r="K27" s="116" t="s">
        <v>39</v>
      </c>
      <c r="L27" s="116" t="s">
        <v>176</v>
      </c>
      <c r="M27" s="116">
        <v>130</v>
      </c>
      <c r="N27" s="116">
        <v>174</v>
      </c>
      <c r="O27" s="116"/>
      <c r="P27" s="19" t="str">
        <f t="shared" si="1"/>
        <v>5GX 프리미엄</v>
      </c>
      <c r="R27" s="116" t="s">
        <v>47</v>
      </c>
      <c r="S27" s="116" t="s">
        <v>363</v>
      </c>
      <c r="T27" s="116" t="s">
        <v>177</v>
      </c>
      <c r="U27" s="116">
        <v>146</v>
      </c>
      <c r="V27" s="116">
        <v>177</v>
      </c>
      <c r="W27" s="116"/>
      <c r="X27" s="15" t="s">
        <v>364</v>
      </c>
    </row>
    <row r="28" spans="2:27" ht="18.75" customHeight="1" x14ac:dyDescent="0.3">
      <c r="B28" s="116" t="s">
        <v>1</v>
      </c>
      <c r="C28" s="116" t="s">
        <v>18</v>
      </c>
      <c r="D28" s="116" t="s">
        <v>171</v>
      </c>
      <c r="E28" s="116">
        <v>44</v>
      </c>
      <c r="F28" s="116">
        <v>66</v>
      </c>
      <c r="G28" s="116"/>
      <c r="H28" s="15" t="str">
        <f t="shared" si="0"/>
        <v>5G 초이스 스페셜</v>
      </c>
      <c r="J28" s="116" t="s">
        <v>0</v>
      </c>
      <c r="K28" s="116" t="s">
        <v>39</v>
      </c>
      <c r="L28" s="116" t="s">
        <v>177</v>
      </c>
      <c r="M28" s="116">
        <v>161</v>
      </c>
      <c r="N28" s="116">
        <v>205</v>
      </c>
      <c r="O28" s="116"/>
      <c r="P28" s="19" t="str">
        <f t="shared" si="1"/>
        <v>5GX 프리미엄</v>
      </c>
      <c r="R28" s="116" t="s">
        <v>47</v>
      </c>
      <c r="S28" s="116" t="s">
        <v>363</v>
      </c>
      <c r="T28" s="116" t="s">
        <v>30</v>
      </c>
      <c r="U28" s="116">
        <v>-5</v>
      </c>
      <c r="V28" s="116">
        <v>45</v>
      </c>
      <c r="W28" s="116"/>
      <c r="X28" s="15" t="s">
        <v>364</v>
      </c>
      <c r="AA28" s="116" t="s">
        <v>364</v>
      </c>
    </row>
    <row r="29" spans="2:27" ht="18.75" customHeight="1" x14ac:dyDescent="0.3">
      <c r="B29" s="116" t="s">
        <v>1</v>
      </c>
      <c r="C29" s="116" t="s">
        <v>18</v>
      </c>
      <c r="D29" s="116" t="s">
        <v>172</v>
      </c>
      <c r="E29" s="116">
        <v>46</v>
      </c>
      <c r="F29" s="116">
        <v>68</v>
      </c>
      <c r="G29" s="116"/>
      <c r="H29" s="15" t="str">
        <f t="shared" si="0"/>
        <v>5G 초이스 스페셜</v>
      </c>
      <c r="J29" s="116" t="s">
        <v>0</v>
      </c>
      <c r="K29" s="116" t="s">
        <v>39</v>
      </c>
      <c r="L29" s="116" t="s">
        <v>42</v>
      </c>
      <c r="M29" s="116">
        <v>12</v>
      </c>
      <c r="N29" s="116">
        <v>41</v>
      </c>
      <c r="O29" s="116"/>
      <c r="P29" s="19" t="str">
        <f t="shared" si="1"/>
        <v>5GX 프리미엄</v>
      </c>
      <c r="R29" s="116" t="s">
        <v>47</v>
      </c>
      <c r="S29" s="116" t="s">
        <v>363</v>
      </c>
      <c r="T29" s="116" t="s">
        <v>31</v>
      </c>
      <c r="U29" s="116">
        <v>8</v>
      </c>
      <c r="V29" s="116">
        <v>60</v>
      </c>
      <c r="W29" s="116"/>
      <c r="X29" s="15" t="s">
        <v>364</v>
      </c>
    </row>
    <row r="30" spans="2:27" ht="18.75" customHeight="1" x14ac:dyDescent="0.3">
      <c r="B30" s="116" t="s">
        <v>1</v>
      </c>
      <c r="C30" s="116" t="s">
        <v>18</v>
      </c>
      <c r="D30" s="116" t="s">
        <v>173</v>
      </c>
      <c r="E30" s="116">
        <v>76</v>
      </c>
      <c r="F30" s="116">
        <v>98</v>
      </c>
      <c r="G30" s="116"/>
      <c r="H30" s="15" t="str">
        <f t="shared" si="0"/>
        <v>5G 초이스 스페셜</v>
      </c>
      <c r="J30" s="116" t="s">
        <v>0</v>
      </c>
      <c r="K30" s="116" t="s">
        <v>39</v>
      </c>
      <c r="L30" s="116" t="s">
        <v>43</v>
      </c>
      <c r="M30" s="116">
        <v>27</v>
      </c>
      <c r="N30" s="116">
        <v>56</v>
      </c>
      <c r="O30" s="116"/>
      <c r="P30" s="19" t="str">
        <f t="shared" si="1"/>
        <v>5GX 프리미엄</v>
      </c>
      <c r="R30" s="116" t="s">
        <v>47</v>
      </c>
      <c r="S30" s="116" t="s">
        <v>363</v>
      </c>
      <c r="T30" s="116" t="s">
        <v>32</v>
      </c>
      <c r="U30" s="116">
        <v>30</v>
      </c>
      <c r="V30" s="116">
        <v>79</v>
      </c>
      <c r="W30" s="116"/>
      <c r="X30" s="15" t="s">
        <v>364</v>
      </c>
    </row>
    <row r="31" spans="2:27" ht="18.75" customHeight="1" x14ac:dyDescent="0.3">
      <c r="B31" s="116" t="s">
        <v>1</v>
      </c>
      <c r="C31" s="116" t="s">
        <v>18</v>
      </c>
      <c r="D31" s="116" t="s">
        <v>174</v>
      </c>
      <c r="E31" s="116">
        <v>71</v>
      </c>
      <c r="F31" s="116">
        <v>88</v>
      </c>
      <c r="G31" s="116"/>
      <c r="H31" s="15" t="str">
        <f t="shared" si="0"/>
        <v>5G 초이스 스페셜</v>
      </c>
      <c r="J31" s="116" t="s">
        <v>0</v>
      </c>
      <c r="K31" s="116" t="s">
        <v>39</v>
      </c>
      <c r="L31" s="116" t="s">
        <v>44</v>
      </c>
      <c r="M31" s="116">
        <v>56</v>
      </c>
      <c r="N31" s="116">
        <v>85</v>
      </c>
      <c r="O31" s="116"/>
      <c r="P31" s="19" t="str">
        <f t="shared" si="1"/>
        <v>5GX 프리미엄</v>
      </c>
      <c r="R31" s="116" t="s">
        <v>47</v>
      </c>
      <c r="S31" s="116" t="s">
        <v>363</v>
      </c>
      <c r="T31" s="116" t="s">
        <v>295</v>
      </c>
      <c r="U31" s="116">
        <v>181</v>
      </c>
      <c r="V31" s="116">
        <v>181</v>
      </c>
      <c r="W31" s="116" t="s">
        <v>13</v>
      </c>
      <c r="X31" s="15" t="s">
        <v>364</v>
      </c>
    </row>
    <row r="32" spans="2:27" ht="18.75" customHeight="1" x14ac:dyDescent="0.3">
      <c r="B32" s="116" t="s">
        <v>1</v>
      </c>
      <c r="C32" s="116" t="s">
        <v>18</v>
      </c>
      <c r="D32" s="116" t="s">
        <v>175</v>
      </c>
      <c r="E32" s="116">
        <v>102</v>
      </c>
      <c r="F32" s="116">
        <v>119</v>
      </c>
      <c r="G32" s="116"/>
      <c r="H32" s="15" t="str">
        <f t="shared" si="0"/>
        <v>5G 초이스 스페셜</v>
      </c>
      <c r="J32" s="116" t="s">
        <v>0</v>
      </c>
      <c r="K32" s="116" t="s">
        <v>41</v>
      </c>
      <c r="L32" s="116" t="s">
        <v>308</v>
      </c>
      <c r="M32" s="116">
        <v>-12</v>
      </c>
      <c r="N32" s="116">
        <v>32</v>
      </c>
      <c r="O32" s="116"/>
      <c r="P32" s="19" t="str">
        <f t="shared" si="1"/>
        <v>T플랜 세이브</v>
      </c>
      <c r="R32" s="116" t="s">
        <v>47</v>
      </c>
      <c r="S32" s="116" t="s">
        <v>363</v>
      </c>
      <c r="T32" s="116" t="s">
        <v>33</v>
      </c>
      <c r="U32" s="116">
        <v>43</v>
      </c>
      <c r="V32" s="116">
        <v>95</v>
      </c>
      <c r="W32" s="116"/>
      <c r="X32" s="15" t="s">
        <v>364</v>
      </c>
    </row>
    <row r="33" spans="2:27" ht="18.75" customHeight="1" x14ac:dyDescent="0.3">
      <c r="B33" s="116" t="s">
        <v>1</v>
      </c>
      <c r="C33" s="116" t="s">
        <v>18</v>
      </c>
      <c r="D33" s="116" t="s">
        <v>176</v>
      </c>
      <c r="E33" s="116">
        <v>116</v>
      </c>
      <c r="F33" s="116">
        <v>133</v>
      </c>
      <c r="G33" s="116"/>
      <c r="H33" s="15" t="str">
        <f t="shared" si="0"/>
        <v>5G 초이스 스페셜</v>
      </c>
      <c r="J33" s="116" t="s">
        <v>0</v>
      </c>
      <c r="K33" s="116"/>
      <c r="L33" s="116" t="s">
        <v>323</v>
      </c>
      <c r="M33" s="116">
        <v>126</v>
      </c>
      <c r="N33" s="116">
        <v>126</v>
      </c>
      <c r="O33" s="116"/>
      <c r="P33" s="19"/>
      <c r="R33" s="116" t="s">
        <v>47</v>
      </c>
      <c r="S33" s="116" t="s">
        <v>363</v>
      </c>
      <c r="T33" s="116" t="s">
        <v>34</v>
      </c>
      <c r="U33" s="116">
        <v>24</v>
      </c>
      <c r="V33" s="116">
        <v>74</v>
      </c>
      <c r="W33" s="116"/>
      <c r="X33" s="15" t="s">
        <v>364</v>
      </c>
    </row>
    <row r="34" spans="2:27" ht="18.75" customHeight="1" x14ac:dyDescent="0.3">
      <c r="B34" s="116" t="s">
        <v>1</v>
      </c>
      <c r="C34" s="116" t="s">
        <v>18</v>
      </c>
      <c r="D34" s="116" t="s">
        <v>177</v>
      </c>
      <c r="E34" s="116">
        <v>147</v>
      </c>
      <c r="F34" s="116">
        <v>164</v>
      </c>
      <c r="G34" s="116"/>
      <c r="H34" s="15" t="str">
        <f t="shared" si="0"/>
        <v>5G 초이스 스페셜</v>
      </c>
      <c r="J34" s="116" t="s">
        <v>0</v>
      </c>
      <c r="K34" s="116"/>
      <c r="L34" s="116" t="s">
        <v>324</v>
      </c>
      <c r="M34" s="116">
        <v>151</v>
      </c>
      <c r="N34" s="116">
        <v>151</v>
      </c>
      <c r="O34" s="116"/>
      <c r="P34" s="19"/>
      <c r="R34" s="116" t="s">
        <v>47</v>
      </c>
      <c r="S34" s="116" t="s">
        <v>363</v>
      </c>
      <c r="T34" s="116" t="s">
        <v>35</v>
      </c>
      <c r="U34" s="116">
        <v>38</v>
      </c>
      <c r="V34" s="116">
        <v>90</v>
      </c>
      <c r="W34" s="116"/>
      <c r="X34" s="15" t="s">
        <v>364</v>
      </c>
    </row>
    <row r="35" spans="2:27" ht="18.75" customHeight="1" x14ac:dyDescent="0.3">
      <c r="B35" s="116" t="s">
        <v>1</v>
      </c>
      <c r="C35" s="116" t="s">
        <v>290</v>
      </c>
      <c r="D35" s="116" t="s">
        <v>341</v>
      </c>
      <c r="E35" s="116">
        <v>-6</v>
      </c>
      <c r="F35" s="116">
        <v>26</v>
      </c>
      <c r="G35" s="116"/>
      <c r="H35" s="15" t="str">
        <f t="shared" si="0"/>
        <v>5g 슬림 4GB</v>
      </c>
      <c r="J35" s="116" t="s">
        <v>0</v>
      </c>
      <c r="K35" s="116"/>
      <c r="L35" s="116" t="s">
        <v>325</v>
      </c>
      <c r="M35" s="116">
        <v>146</v>
      </c>
      <c r="N35" s="116">
        <v>146</v>
      </c>
      <c r="O35" s="116"/>
      <c r="P35" s="19"/>
      <c r="R35" s="116" t="s">
        <v>47</v>
      </c>
      <c r="S35" s="116" t="s">
        <v>363</v>
      </c>
      <c r="T35" s="116" t="s">
        <v>42</v>
      </c>
      <c r="U35" s="116">
        <v>-15</v>
      </c>
      <c r="V35" s="116">
        <v>23</v>
      </c>
      <c r="W35" s="116"/>
      <c r="X35" s="15" t="s">
        <v>364</v>
      </c>
    </row>
    <row r="36" spans="2:27" ht="18.75" customHeight="1" x14ac:dyDescent="0.3">
      <c r="B36" s="116" t="s">
        <v>1</v>
      </c>
      <c r="C36" s="116" t="s">
        <v>353</v>
      </c>
      <c r="D36" s="116" t="s">
        <v>341</v>
      </c>
      <c r="E36" s="116">
        <v>-12</v>
      </c>
      <c r="F36" s="116">
        <v>22</v>
      </c>
      <c r="G36" s="116"/>
      <c r="H36" s="15" t="str">
        <f t="shared" si="0"/>
        <v>5G 심플30GB</v>
      </c>
      <c r="J36" s="116" t="s">
        <v>0</v>
      </c>
      <c r="K36" s="116"/>
      <c r="L36" s="116" t="s">
        <v>326</v>
      </c>
      <c r="M36" s="116">
        <v>171</v>
      </c>
      <c r="N36" s="116">
        <v>171</v>
      </c>
      <c r="O36" s="116"/>
      <c r="P36" s="19"/>
      <c r="R36" s="116" t="s">
        <v>47</v>
      </c>
      <c r="S36" s="116" t="s">
        <v>360</v>
      </c>
      <c r="T36" s="116" t="s">
        <v>361</v>
      </c>
      <c r="U36" s="116">
        <v>45</v>
      </c>
      <c r="V36" s="116">
        <v>45</v>
      </c>
      <c r="W36" s="116"/>
      <c r="X36" s="15" t="str">
        <f t="shared" ref="X36:X70" si="2">SUBSTITUTE(S36,"(넷플릭스)","")</f>
        <v>5G 키즈 29</v>
      </c>
    </row>
    <row r="37" spans="2:27" ht="18.75" customHeight="1" x14ac:dyDescent="0.3">
      <c r="B37" s="116" t="s">
        <v>1</v>
      </c>
      <c r="C37" s="116" t="s">
        <v>337</v>
      </c>
      <c r="D37" s="116" t="s">
        <v>333</v>
      </c>
      <c r="E37" s="116">
        <v>11</v>
      </c>
      <c r="F37" s="116">
        <v>36</v>
      </c>
      <c r="G37" s="116"/>
      <c r="H37" s="15" t="str">
        <f t="shared" si="0"/>
        <v>Y주니어 19.8</v>
      </c>
      <c r="J37" s="116" t="s">
        <v>0</v>
      </c>
      <c r="K37" s="116"/>
      <c r="L37" s="116" t="s">
        <v>327</v>
      </c>
      <c r="M37" s="116">
        <v>180</v>
      </c>
      <c r="N37" s="116">
        <v>180</v>
      </c>
      <c r="O37" s="116"/>
      <c r="P37" s="19"/>
      <c r="R37" s="116" t="s">
        <v>47</v>
      </c>
      <c r="S37" s="116"/>
      <c r="T37" s="116" t="s">
        <v>323</v>
      </c>
      <c r="U37" s="116">
        <v>126</v>
      </c>
      <c r="V37" s="116">
        <v>126</v>
      </c>
      <c r="W37" s="116"/>
      <c r="X37" s="15" t="str">
        <f t="shared" si="2"/>
        <v/>
      </c>
    </row>
    <row r="38" spans="2:27" ht="18.75" customHeight="1" x14ac:dyDescent="0.3">
      <c r="B38" s="116" t="s">
        <v>1</v>
      </c>
      <c r="C38" s="116" t="s">
        <v>290</v>
      </c>
      <c r="D38" s="116" t="s">
        <v>357</v>
      </c>
      <c r="E38" s="116">
        <v>4</v>
      </c>
      <c r="F38" s="116">
        <v>9</v>
      </c>
      <c r="G38" s="116"/>
      <c r="H38" s="15" t="str">
        <f t="shared" si="0"/>
        <v>5g 슬림 4GB</v>
      </c>
      <c r="J38" s="116" t="s">
        <v>0</v>
      </c>
      <c r="K38" s="116"/>
      <c r="L38" s="116" t="s">
        <v>328</v>
      </c>
      <c r="M38" s="116">
        <v>206</v>
      </c>
      <c r="N38" s="116">
        <v>206</v>
      </c>
      <c r="O38" s="116"/>
      <c r="P38" s="19"/>
      <c r="R38" s="116" t="s">
        <v>47</v>
      </c>
      <c r="S38" s="116" t="s">
        <v>363</v>
      </c>
      <c r="T38" s="116" t="s">
        <v>323</v>
      </c>
      <c r="U38" s="116">
        <v>-7</v>
      </c>
      <c r="V38" s="116">
        <v>7</v>
      </c>
      <c r="W38" s="116"/>
      <c r="X38" s="15" t="str">
        <f>SUBSTITUTE(S38,"(넷플릭스)","")</f>
        <v xml:space="preserve"> 플러스 플랜115</v>
      </c>
      <c r="AA38" s="116"/>
    </row>
    <row r="39" spans="2:27" ht="18.75" customHeight="1" x14ac:dyDescent="0.3">
      <c r="B39" s="116" t="s">
        <v>1</v>
      </c>
      <c r="C39" s="116" t="s">
        <v>353</v>
      </c>
      <c r="D39" s="116" t="s">
        <v>357</v>
      </c>
      <c r="E39" s="116">
        <v>-2</v>
      </c>
      <c r="F39" s="116">
        <v>3</v>
      </c>
      <c r="G39" s="116"/>
      <c r="H39" s="15" t="str">
        <f t="shared" si="0"/>
        <v>5G 심플30GB</v>
      </c>
      <c r="J39" s="116" t="s">
        <v>0</v>
      </c>
      <c r="K39" s="116"/>
      <c r="L39" s="116" t="s">
        <v>335</v>
      </c>
      <c r="M39" s="116">
        <v>35</v>
      </c>
      <c r="N39" s="116">
        <v>35</v>
      </c>
      <c r="O39" s="116"/>
      <c r="P39" s="19"/>
      <c r="R39" s="116" t="s">
        <v>47</v>
      </c>
      <c r="S39" s="116" t="s">
        <v>363</v>
      </c>
      <c r="T39" s="116" t="s">
        <v>323</v>
      </c>
      <c r="U39" s="116">
        <v>-7</v>
      </c>
      <c r="V39" s="116">
        <v>7</v>
      </c>
      <c r="W39" s="116"/>
      <c r="X39" s="15" t="str">
        <f t="shared" si="2"/>
        <v xml:space="preserve"> 플러스 플랜115</v>
      </c>
    </row>
    <row r="40" spans="2:27" ht="18.75" customHeight="1" x14ac:dyDescent="0.3">
      <c r="B40" s="116" t="s">
        <v>1</v>
      </c>
      <c r="C40" s="116" t="s">
        <v>14</v>
      </c>
      <c r="D40" s="116" t="s">
        <v>367</v>
      </c>
      <c r="E40" s="116">
        <v>98</v>
      </c>
      <c r="F40" s="116">
        <v>110</v>
      </c>
      <c r="G40" s="116"/>
      <c r="H40" s="15" t="str">
        <f t="shared" si="0"/>
        <v>5G 초이스 베이직</v>
      </c>
      <c r="J40" s="116" t="s">
        <v>0</v>
      </c>
      <c r="K40" s="116"/>
      <c r="L40" s="116" t="s">
        <v>308</v>
      </c>
      <c r="M40" s="116">
        <v>32</v>
      </c>
      <c r="N40" s="116">
        <v>32</v>
      </c>
      <c r="O40" s="116"/>
      <c r="P40" s="19"/>
      <c r="R40" s="116" t="s">
        <v>47</v>
      </c>
      <c r="S40" s="116"/>
      <c r="T40" s="116" t="s">
        <v>324</v>
      </c>
      <c r="U40" s="116">
        <v>151</v>
      </c>
      <c r="V40" s="116">
        <v>151</v>
      </c>
      <c r="W40" s="116"/>
      <c r="X40" s="15" t="str">
        <f t="shared" si="2"/>
        <v/>
      </c>
    </row>
    <row r="41" spans="2:27" ht="18.75" customHeight="1" x14ac:dyDescent="0.3">
      <c r="B41" s="116" t="s">
        <v>1</v>
      </c>
      <c r="C41" s="116" t="s">
        <v>14</v>
      </c>
      <c r="D41" s="116" t="s">
        <v>368</v>
      </c>
      <c r="E41" s="116">
        <v>23</v>
      </c>
      <c r="F41" s="116">
        <v>35</v>
      </c>
      <c r="G41" s="116"/>
      <c r="H41" s="15" t="str">
        <f t="shared" si="0"/>
        <v>5G 초이스 베이직</v>
      </c>
      <c r="J41" s="116"/>
      <c r="K41" s="116"/>
      <c r="L41" s="116"/>
      <c r="M41" s="116"/>
      <c r="N41" s="116"/>
      <c r="O41" s="116"/>
      <c r="P41" s="19"/>
      <c r="R41" s="116" t="s">
        <v>47</v>
      </c>
      <c r="S41" s="116"/>
      <c r="T41" s="116" t="s">
        <v>325</v>
      </c>
      <c r="U41" s="116">
        <v>146</v>
      </c>
      <c r="V41" s="116">
        <v>146</v>
      </c>
      <c r="W41" s="116"/>
      <c r="X41" s="15" t="str">
        <f t="shared" si="2"/>
        <v/>
      </c>
    </row>
    <row r="42" spans="2:27" ht="18.75" customHeight="1" x14ac:dyDescent="0.3">
      <c r="B42" s="116" t="s">
        <v>1</v>
      </c>
      <c r="C42" s="116" t="s">
        <v>14</v>
      </c>
      <c r="D42" s="116" t="s">
        <v>323</v>
      </c>
      <c r="E42" s="116">
        <v>45</v>
      </c>
      <c r="F42" s="116">
        <v>59</v>
      </c>
      <c r="G42" s="116"/>
      <c r="H42" s="15" t="str">
        <f t="shared" si="0"/>
        <v>5G 초이스 베이직</v>
      </c>
      <c r="J42" s="116"/>
      <c r="K42" s="116"/>
      <c r="L42" s="116"/>
      <c r="M42" s="116"/>
      <c r="N42" s="116"/>
      <c r="O42" s="116"/>
      <c r="P42" s="19"/>
      <c r="R42" s="116" t="s">
        <v>47</v>
      </c>
      <c r="S42" s="116"/>
      <c r="T42" s="116" t="s">
        <v>326</v>
      </c>
      <c r="U42" s="116">
        <v>171</v>
      </c>
      <c r="V42" s="116">
        <v>171</v>
      </c>
      <c r="W42" s="116"/>
      <c r="X42" s="15" t="str">
        <f t="shared" si="2"/>
        <v/>
      </c>
    </row>
    <row r="43" spans="2:27" ht="18.75" customHeight="1" x14ac:dyDescent="0.3">
      <c r="B43" s="116" t="s">
        <v>1</v>
      </c>
      <c r="C43" s="116" t="s">
        <v>14</v>
      </c>
      <c r="D43" s="116" t="s">
        <v>324</v>
      </c>
      <c r="E43" s="116">
        <v>71</v>
      </c>
      <c r="F43" s="116">
        <v>85</v>
      </c>
      <c r="G43" s="116"/>
      <c r="H43" s="15" t="str">
        <f t="shared" si="0"/>
        <v>5G 초이스 베이직</v>
      </c>
      <c r="J43" s="116"/>
      <c r="K43" s="116"/>
      <c r="L43" s="116"/>
      <c r="M43" s="116"/>
      <c r="N43" s="116"/>
      <c r="O43" s="116"/>
      <c r="P43" s="19" t="str">
        <f t="shared" si="1"/>
        <v/>
      </c>
      <c r="R43" s="116" t="s">
        <v>47</v>
      </c>
      <c r="S43" s="116"/>
      <c r="T43" s="116" t="s">
        <v>327</v>
      </c>
      <c r="U43" s="116">
        <v>180</v>
      </c>
      <c r="V43" s="116">
        <v>180</v>
      </c>
      <c r="W43" s="116"/>
      <c r="X43" s="15" t="str">
        <f t="shared" si="2"/>
        <v/>
      </c>
    </row>
    <row r="44" spans="2:27" ht="18.75" customHeight="1" x14ac:dyDescent="0.3">
      <c r="B44" s="116" t="s">
        <v>1</v>
      </c>
      <c r="C44" s="116" t="s">
        <v>14</v>
      </c>
      <c r="D44" s="116" t="s">
        <v>325</v>
      </c>
      <c r="E44" s="116">
        <v>65</v>
      </c>
      <c r="F44" s="116">
        <v>79</v>
      </c>
      <c r="G44" s="116"/>
      <c r="H44" s="15" t="str">
        <f t="shared" si="0"/>
        <v>5G 초이스 베이직</v>
      </c>
      <c r="J44" s="116"/>
      <c r="K44" s="116"/>
      <c r="L44" s="116"/>
      <c r="M44" s="116"/>
      <c r="N44" s="116"/>
      <c r="O44" s="116"/>
      <c r="P44" s="19" t="str">
        <f t="shared" si="1"/>
        <v/>
      </c>
      <c r="R44" s="116" t="s">
        <v>47</v>
      </c>
      <c r="S44" s="116"/>
      <c r="T44" s="116" t="s">
        <v>328</v>
      </c>
      <c r="U44" s="116">
        <v>206</v>
      </c>
      <c r="V44" s="116">
        <v>206</v>
      </c>
      <c r="W44" s="116"/>
      <c r="X44" s="15" t="str">
        <f t="shared" si="2"/>
        <v/>
      </c>
    </row>
    <row r="45" spans="2:27" ht="18.75" customHeight="1" x14ac:dyDescent="0.3">
      <c r="B45" s="116" t="s">
        <v>1</v>
      </c>
      <c r="C45" s="116" t="s">
        <v>14</v>
      </c>
      <c r="D45" s="116" t="s">
        <v>326</v>
      </c>
      <c r="E45" s="116">
        <v>90</v>
      </c>
      <c r="F45" s="116">
        <v>104</v>
      </c>
      <c r="G45" s="116"/>
      <c r="H45" s="15" t="str">
        <f t="shared" si="0"/>
        <v>5G 초이스 베이직</v>
      </c>
      <c r="J45" s="116"/>
      <c r="K45" s="116"/>
      <c r="L45" s="116"/>
      <c r="M45" s="116"/>
      <c r="N45" s="116"/>
      <c r="O45" s="116"/>
      <c r="P45" s="19" t="str">
        <f t="shared" si="1"/>
        <v/>
      </c>
      <c r="R45" s="116" t="s">
        <v>47</v>
      </c>
      <c r="S45" s="116" t="s">
        <v>363</v>
      </c>
      <c r="T45" s="116" t="s">
        <v>342</v>
      </c>
      <c r="U45" s="116">
        <v>40</v>
      </c>
      <c r="V45" s="116">
        <v>138</v>
      </c>
      <c r="W45" s="116"/>
      <c r="X45" s="15" t="str">
        <f t="shared" si="2"/>
        <v xml:space="preserve"> 플러스 플랜115</v>
      </c>
    </row>
    <row r="46" spans="2:27" ht="18.75" customHeight="1" x14ac:dyDescent="0.3">
      <c r="B46" s="116" t="s">
        <v>1</v>
      </c>
      <c r="C46" s="116" t="s">
        <v>14</v>
      </c>
      <c r="D46" s="116" t="s">
        <v>327</v>
      </c>
      <c r="E46" s="116">
        <v>100</v>
      </c>
      <c r="F46" s="116">
        <v>114</v>
      </c>
      <c r="G46" s="116"/>
      <c r="H46" s="15" t="str">
        <f t="shared" si="0"/>
        <v>5G 초이스 베이직</v>
      </c>
      <c r="J46" s="18"/>
      <c r="K46" s="18"/>
      <c r="L46" s="18"/>
      <c r="M46" s="18"/>
      <c r="N46" s="18"/>
      <c r="O46" s="18"/>
      <c r="P46" s="19" t="str">
        <f t="shared" si="1"/>
        <v/>
      </c>
      <c r="R46" s="116" t="s">
        <v>47</v>
      </c>
      <c r="S46" s="116"/>
      <c r="T46" s="116" t="s">
        <v>361</v>
      </c>
      <c r="U46" s="116">
        <v>37</v>
      </c>
      <c r="V46" s="116">
        <v>37</v>
      </c>
      <c r="W46" s="116"/>
      <c r="X46" s="15" t="str">
        <f t="shared" si="2"/>
        <v/>
      </c>
    </row>
    <row r="47" spans="2:27" ht="18.75" customHeight="1" x14ac:dyDescent="0.3">
      <c r="B47" s="116" t="s">
        <v>1</v>
      </c>
      <c r="C47" s="116" t="s">
        <v>14</v>
      </c>
      <c r="D47" s="116" t="s">
        <v>328</v>
      </c>
      <c r="E47" s="116">
        <v>125</v>
      </c>
      <c r="F47" s="116">
        <v>139</v>
      </c>
      <c r="G47" s="116"/>
      <c r="H47" s="15" t="str">
        <f t="shared" si="0"/>
        <v>5G 초이스 베이직</v>
      </c>
      <c r="J47" s="18"/>
      <c r="K47" s="18"/>
      <c r="L47" s="18"/>
      <c r="M47" s="18"/>
      <c r="N47" s="18"/>
      <c r="O47" s="18"/>
      <c r="P47" s="19" t="str">
        <f t="shared" si="1"/>
        <v/>
      </c>
      <c r="R47" s="116" t="s">
        <v>47</v>
      </c>
      <c r="S47" s="116" t="s">
        <v>363</v>
      </c>
      <c r="T47" s="116" t="s">
        <v>342</v>
      </c>
      <c r="U47" s="116">
        <v>42</v>
      </c>
      <c r="V47" s="116">
        <v>137</v>
      </c>
      <c r="W47" s="116"/>
      <c r="X47" s="15" t="str">
        <f t="shared" si="2"/>
        <v xml:space="preserve"> 플러스 플랜115</v>
      </c>
    </row>
    <row r="48" spans="2:27" ht="18.75" customHeight="1" x14ac:dyDescent="0.3">
      <c r="B48" s="116" t="s">
        <v>1</v>
      </c>
      <c r="C48" s="116" t="s">
        <v>14</v>
      </c>
      <c r="D48" s="116" t="s">
        <v>121</v>
      </c>
      <c r="E48" s="116">
        <v>43</v>
      </c>
      <c r="F48" s="116">
        <v>55</v>
      </c>
      <c r="G48" s="116"/>
      <c r="H48" s="15" t="str">
        <f t="shared" si="0"/>
        <v>5G 초이스 베이직</v>
      </c>
      <c r="J48" s="18"/>
      <c r="K48" s="18"/>
      <c r="L48" s="18"/>
      <c r="M48" s="18"/>
      <c r="N48" s="18"/>
      <c r="O48" s="18"/>
      <c r="P48" s="19" t="str">
        <f t="shared" si="1"/>
        <v/>
      </c>
      <c r="R48" s="116" t="s">
        <v>47</v>
      </c>
      <c r="S48" s="116"/>
      <c r="T48" s="116" t="s">
        <v>361</v>
      </c>
      <c r="U48" s="116">
        <v>37</v>
      </c>
      <c r="V48" s="116">
        <v>37</v>
      </c>
      <c r="W48" s="116"/>
      <c r="X48" s="15" t="str">
        <f t="shared" si="2"/>
        <v/>
      </c>
    </row>
    <row r="49" spans="2:24" ht="18.75" customHeight="1" x14ac:dyDescent="0.3">
      <c r="B49" s="116" t="s">
        <v>1</v>
      </c>
      <c r="C49" s="116" t="s">
        <v>14</v>
      </c>
      <c r="D49" s="116" t="s">
        <v>122</v>
      </c>
      <c r="E49" s="116">
        <v>133</v>
      </c>
      <c r="F49" s="116">
        <v>145</v>
      </c>
      <c r="G49" s="116"/>
      <c r="H49" s="15" t="str">
        <f t="shared" si="0"/>
        <v>5G 초이스 베이직</v>
      </c>
      <c r="J49" s="18"/>
      <c r="K49" s="18"/>
      <c r="L49" s="18"/>
      <c r="M49" s="18"/>
      <c r="N49" s="18"/>
      <c r="O49" s="18"/>
      <c r="P49" s="19" t="str">
        <f t="shared" si="1"/>
        <v/>
      </c>
      <c r="R49" s="116"/>
      <c r="S49" s="116"/>
      <c r="T49" s="116"/>
      <c r="U49" s="116"/>
      <c r="V49" s="116"/>
      <c r="W49" s="116"/>
      <c r="X49" s="15" t="str">
        <f t="shared" si="2"/>
        <v/>
      </c>
    </row>
    <row r="50" spans="2:24" ht="18.75" customHeight="1" x14ac:dyDescent="0.3">
      <c r="B50" s="116" t="s">
        <v>1</v>
      </c>
      <c r="C50" s="116" t="s">
        <v>14</v>
      </c>
      <c r="D50" s="116" t="s">
        <v>40</v>
      </c>
      <c r="E50" s="116">
        <v>18</v>
      </c>
      <c r="F50" s="116">
        <v>23</v>
      </c>
      <c r="G50" s="116"/>
      <c r="H50" s="15" t="str">
        <f t="shared" si="0"/>
        <v>5G 초이스 베이직</v>
      </c>
      <c r="J50" s="18"/>
      <c r="K50" s="18"/>
      <c r="L50" s="18"/>
      <c r="M50" s="18"/>
      <c r="N50" s="18"/>
      <c r="O50" s="18"/>
      <c r="P50" s="19" t="str">
        <f t="shared" si="1"/>
        <v/>
      </c>
      <c r="R50" s="116"/>
      <c r="S50" s="116"/>
      <c r="T50" s="116"/>
      <c r="U50" s="116"/>
      <c r="V50" s="116"/>
      <c r="W50" s="116"/>
      <c r="X50" s="15" t="str">
        <f t="shared" si="2"/>
        <v/>
      </c>
    </row>
    <row r="51" spans="2:24" ht="18.75" customHeight="1" x14ac:dyDescent="0.3">
      <c r="B51" s="116" t="s">
        <v>1</v>
      </c>
      <c r="C51" s="116" t="s">
        <v>14</v>
      </c>
      <c r="D51" s="116" t="s">
        <v>167</v>
      </c>
      <c r="E51" s="116">
        <v>6</v>
      </c>
      <c r="F51" s="116">
        <v>15</v>
      </c>
      <c r="G51" s="116"/>
      <c r="H51" s="15" t="str">
        <f t="shared" si="0"/>
        <v>5G 초이스 베이직</v>
      </c>
      <c r="J51" s="18"/>
      <c r="K51" s="18"/>
      <c r="L51" s="18"/>
      <c r="M51" s="18"/>
      <c r="N51" s="18"/>
      <c r="O51" s="18"/>
      <c r="P51" s="19" t="str">
        <f t="shared" si="1"/>
        <v/>
      </c>
      <c r="R51" s="116"/>
      <c r="S51" s="116"/>
      <c r="T51" s="116"/>
      <c r="U51" s="116"/>
      <c r="V51" s="116"/>
      <c r="W51" s="116"/>
      <c r="X51" s="15" t="str">
        <f t="shared" si="2"/>
        <v/>
      </c>
    </row>
    <row r="52" spans="2:24" ht="18.75" customHeight="1" x14ac:dyDescent="0.3">
      <c r="B52" s="116" t="s">
        <v>1</v>
      </c>
      <c r="C52" s="116" t="s">
        <v>14</v>
      </c>
      <c r="D52" s="116" t="s">
        <v>15</v>
      </c>
      <c r="E52" s="116">
        <v>-2</v>
      </c>
      <c r="F52" s="116">
        <v>-1</v>
      </c>
      <c r="G52" s="116"/>
      <c r="H52" s="15" t="str">
        <f t="shared" si="0"/>
        <v>5G 초이스 베이직</v>
      </c>
      <c r="J52" s="18"/>
      <c r="K52" s="18"/>
      <c r="L52" s="18"/>
      <c r="M52" s="18"/>
      <c r="N52" s="18"/>
      <c r="O52" s="18"/>
      <c r="P52" s="19" t="str">
        <f t="shared" si="1"/>
        <v/>
      </c>
      <c r="R52" s="116"/>
      <c r="S52" s="116"/>
      <c r="T52" s="116"/>
      <c r="U52" s="116"/>
      <c r="V52" s="116"/>
      <c r="W52" s="116"/>
      <c r="X52" s="15" t="str">
        <f t="shared" si="2"/>
        <v/>
      </c>
    </row>
    <row r="53" spans="2:24" ht="18.75" customHeight="1" x14ac:dyDescent="0.3">
      <c r="B53" s="116" t="s">
        <v>1</v>
      </c>
      <c r="C53" s="116" t="s">
        <v>14</v>
      </c>
      <c r="D53" s="116" t="s">
        <v>306</v>
      </c>
      <c r="E53" s="116">
        <v>-22</v>
      </c>
      <c r="F53" s="116">
        <v>-19</v>
      </c>
      <c r="G53" s="116"/>
      <c r="H53" s="15" t="str">
        <f t="shared" si="0"/>
        <v>5G 초이스 베이직</v>
      </c>
      <c r="J53" s="18"/>
      <c r="K53" s="18"/>
      <c r="L53" s="18"/>
      <c r="M53" s="18"/>
      <c r="N53" s="18"/>
      <c r="O53" s="18"/>
      <c r="P53" s="19" t="str">
        <f t="shared" si="1"/>
        <v/>
      </c>
      <c r="R53" s="116"/>
      <c r="S53" s="116"/>
      <c r="T53" s="116"/>
      <c r="U53" s="116"/>
      <c r="V53" s="116"/>
      <c r="W53" s="116"/>
      <c r="X53" s="15" t="str">
        <f t="shared" si="2"/>
        <v/>
      </c>
    </row>
    <row r="54" spans="2:24" ht="18.75" customHeight="1" x14ac:dyDescent="0.3">
      <c r="B54" s="116" t="s">
        <v>1</v>
      </c>
      <c r="C54" s="116" t="s">
        <v>14</v>
      </c>
      <c r="D54" s="116" t="s">
        <v>16</v>
      </c>
      <c r="E54" s="116">
        <v>18</v>
      </c>
      <c r="F54" s="116">
        <v>19</v>
      </c>
      <c r="G54" s="116"/>
      <c r="H54" s="15" t="str">
        <f t="shared" si="0"/>
        <v>5G 초이스 베이직</v>
      </c>
      <c r="J54" s="18"/>
      <c r="K54" s="18"/>
      <c r="L54" s="18"/>
      <c r="M54" s="18"/>
      <c r="N54" s="18"/>
      <c r="O54" s="18"/>
      <c r="P54" s="19" t="str">
        <f t="shared" si="1"/>
        <v/>
      </c>
      <c r="R54" s="116"/>
      <c r="S54" s="116"/>
      <c r="T54" s="116"/>
      <c r="U54" s="116"/>
      <c r="V54" s="116"/>
      <c r="W54" s="116"/>
      <c r="X54" s="15" t="str">
        <f t="shared" si="2"/>
        <v/>
      </c>
    </row>
    <row r="55" spans="2:24" ht="18.75" customHeight="1" x14ac:dyDescent="0.3">
      <c r="B55" s="116" t="s">
        <v>1</v>
      </c>
      <c r="C55" s="116" t="s">
        <v>14</v>
      </c>
      <c r="D55" s="116" t="s">
        <v>307</v>
      </c>
      <c r="E55" s="116">
        <v>-8</v>
      </c>
      <c r="F55" s="116">
        <v>-7</v>
      </c>
      <c r="G55" s="116"/>
      <c r="H55" s="15" t="str">
        <f t="shared" si="0"/>
        <v>5G 초이스 베이직</v>
      </c>
      <c r="J55" s="18"/>
      <c r="K55" s="18"/>
      <c r="L55" s="18"/>
      <c r="M55" s="18"/>
      <c r="N55" s="18"/>
      <c r="O55" s="18"/>
      <c r="P55" s="19" t="str">
        <f t="shared" si="1"/>
        <v/>
      </c>
      <c r="R55" s="116"/>
      <c r="S55" s="116"/>
      <c r="T55" s="116"/>
      <c r="U55" s="116"/>
      <c r="V55" s="116"/>
      <c r="W55" s="116"/>
      <c r="X55" s="15" t="str">
        <f t="shared" si="2"/>
        <v/>
      </c>
    </row>
    <row r="56" spans="2:24" ht="18.75" customHeight="1" x14ac:dyDescent="0.3">
      <c r="B56" s="116" t="s">
        <v>1</v>
      </c>
      <c r="C56" s="116" t="s">
        <v>14</v>
      </c>
      <c r="D56" s="116" t="s">
        <v>17</v>
      </c>
      <c r="E56" s="116">
        <v>53</v>
      </c>
      <c r="F56" s="116">
        <v>54</v>
      </c>
      <c r="G56" s="116"/>
      <c r="H56" s="15" t="str">
        <f t="shared" si="0"/>
        <v>5G 초이스 베이직</v>
      </c>
      <c r="J56" s="18"/>
      <c r="K56" s="18"/>
      <c r="L56" s="18"/>
      <c r="M56" s="18"/>
      <c r="N56" s="18"/>
      <c r="O56" s="18"/>
      <c r="P56" s="19" t="str">
        <f t="shared" si="1"/>
        <v/>
      </c>
      <c r="R56" s="116"/>
      <c r="S56" s="116"/>
      <c r="T56" s="116"/>
      <c r="U56" s="116"/>
      <c r="V56" s="116"/>
      <c r="W56" s="116"/>
      <c r="X56" s="15" t="str">
        <f t="shared" si="2"/>
        <v/>
      </c>
    </row>
    <row r="57" spans="2:24" ht="18.75" customHeight="1" x14ac:dyDescent="0.3">
      <c r="B57" s="116" t="s">
        <v>1</v>
      </c>
      <c r="C57" s="116" t="s">
        <v>14</v>
      </c>
      <c r="D57" s="116" t="s">
        <v>181</v>
      </c>
      <c r="E57" s="116">
        <v>25</v>
      </c>
      <c r="F57" s="116">
        <v>28</v>
      </c>
      <c r="G57" s="116"/>
      <c r="H57" s="15" t="str">
        <f t="shared" si="0"/>
        <v>5G 초이스 베이직</v>
      </c>
      <c r="J57" s="18"/>
      <c r="K57" s="18"/>
      <c r="L57" s="18"/>
      <c r="M57" s="18"/>
      <c r="N57" s="18"/>
      <c r="O57" s="18"/>
      <c r="P57" s="19" t="str">
        <f t="shared" si="1"/>
        <v/>
      </c>
      <c r="R57" s="116"/>
      <c r="S57" s="116"/>
      <c r="T57" s="116"/>
      <c r="U57" s="116"/>
      <c r="V57" s="116"/>
      <c r="W57" s="116"/>
      <c r="X57" s="15" t="str">
        <f t="shared" si="2"/>
        <v/>
      </c>
    </row>
    <row r="58" spans="2:24" ht="18.75" customHeight="1" x14ac:dyDescent="0.3">
      <c r="B58" s="116" t="s">
        <v>1</v>
      </c>
      <c r="C58" s="116" t="s">
        <v>14</v>
      </c>
      <c r="D58" s="116" t="s">
        <v>19</v>
      </c>
      <c r="E58" s="116">
        <v>-7</v>
      </c>
      <c r="F58" s="116">
        <v>-5</v>
      </c>
      <c r="G58" s="116"/>
      <c r="H58" s="15" t="str">
        <f t="shared" si="0"/>
        <v>5G 초이스 베이직</v>
      </c>
      <c r="J58" s="18"/>
      <c r="K58" s="18"/>
      <c r="L58" s="18"/>
      <c r="M58" s="18"/>
      <c r="N58" s="18"/>
      <c r="O58" s="18"/>
      <c r="P58" s="19" t="str">
        <f t="shared" si="1"/>
        <v/>
      </c>
      <c r="R58" s="116"/>
      <c r="S58" s="116"/>
      <c r="T58" s="116"/>
      <c r="U58" s="116"/>
      <c r="V58" s="116"/>
      <c r="W58" s="116"/>
      <c r="X58" s="15" t="str">
        <f t="shared" si="2"/>
        <v/>
      </c>
    </row>
    <row r="59" spans="2:24" ht="18.75" customHeight="1" x14ac:dyDescent="0.3">
      <c r="B59" s="116" t="s">
        <v>1</v>
      </c>
      <c r="C59" s="116" t="s">
        <v>290</v>
      </c>
      <c r="D59" s="116" t="s">
        <v>37</v>
      </c>
      <c r="E59" s="116">
        <v>6</v>
      </c>
      <c r="F59" s="116">
        <v>-4</v>
      </c>
      <c r="G59" s="116"/>
      <c r="H59" s="15" t="str">
        <f t="shared" si="0"/>
        <v>5g 슬림 4GB</v>
      </c>
      <c r="J59" s="18"/>
      <c r="K59" s="18"/>
      <c r="L59" s="18"/>
      <c r="M59" s="18"/>
      <c r="N59" s="18"/>
      <c r="O59" s="18"/>
      <c r="P59" s="19" t="str">
        <f t="shared" si="1"/>
        <v/>
      </c>
      <c r="R59" s="116"/>
      <c r="S59" s="116"/>
      <c r="T59" s="116"/>
      <c r="U59" s="116"/>
      <c r="V59" s="116"/>
      <c r="W59" s="116"/>
      <c r="X59" s="15" t="str">
        <f t="shared" si="2"/>
        <v/>
      </c>
    </row>
    <row r="60" spans="2:24" ht="18.75" customHeight="1" x14ac:dyDescent="0.3">
      <c r="B60" s="116" t="s">
        <v>1</v>
      </c>
      <c r="C60" s="116" t="s">
        <v>14</v>
      </c>
      <c r="D60" s="116" t="s">
        <v>37</v>
      </c>
      <c r="E60" s="116">
        <v>4</v>
      </c>
      <c r="F60" s="116">
        <v>4</v>
      </c>
      <c r="G60" s="116"/>
      <c r="H60" s="15" t="str">
        <f t="shared" si="0"/>
        <v>5G 초이스 베이직</v>
      </c>
      <c r="J60" s="18"/>
      <c r="K60" s="18"/>
      <c r="L60" s="18"/>
      <c r="M60" s="18"/>
      <c r="N60" s="18"/>
      <c r="O60" s="18"/>
      <c r="P60" s="19" t="str">
        <f t="shared" si="1"/>
        <v/>
      </c>
      <c r="R60" s="116"/>
      <c r="S60" s="116"/>
      <c r="T60" s="116"/>
      <c r="U60" s="116"/>
      <c r="V60" s="116"/>
      <c r="W60" s="116"/>
      <c r="X60" s="15" t="str">
        <f t="shared" si="2"/>
        <v/>
      </c>
    </row>
    <row r="61" spans="2:24" ht="18.75" customHeight="1" x14ac:dyDescent="0.3">
      <c r="B61" s="116" t="s">
        <v>1</v>
      </c>
      <c r="C61" s="116" t="s">
        <v>14</v>
      </c>
      <c r="D61" s="116" t="s">
        <v>170</v>
      </c>
      <c r="E61" s="116">
        <v>25</v>
      </c>
      <c r="F61" s="116">
        <v>42</v>
      </c>
      <c r="G61" s="116"/>
      <c r="H61" s="15" t="str">
        <f t="shared" si="0"/>
        <v>5G 초이스 베이직</v>
      </c>
      <c r="J61" s="18"/>
      <c r="K61" s="18"/>
      <c r="L61" s="18"/>
      <c r="M61" s="18"/>
      <c r="N61" s="18"/>
      <c r="O61" s="18"/>
      <c r="P61" s="19" t="str">
        <f t="shared" si="1"/>
        <v/>
      </c>
      <c r="R61" s="116"/>
      <c r="S61" s="116"/>
      <c r="T61" s="116"/>
      <c r="U61" s="116"/>
      <c r="V61" s="116"/>
      <c r="W61" s="116"/>
      <c r="X61" s="15" t="str">
        <f t="shared" si="2"/>
        <v/>
      </c>
    </row>
    <row r="62" spans="2:24" ht="18.75" customHeight="1" x14ac:dyDescent="0.3">
      <c r="B62" s="116" t="s">
        <v>1</v>
      </c>
      <c r="C62" s="116" t="s">
        <v>14</v>
      </c>
      <c r="D62" s="116" t="s">
        <v>171</v>
      </c>
      <c r="E62" s="116">
        <v>54</v>
      </c>
      <c r="F62" s="116">
        <v>71</v>
      </c>
      <c r="G62" s="116"/>
      <c r="H62" s="15" t="str">
        <f t="shared" si="0"/>
        <v>5G 초이스 베이직</v>
      </c>
      <c r="J62" s="18"/>
      <c r="K62" s="18"/>
      <c r="L62" s="18"/>
      <c r="M62" s="18"/>
      <c r="N62" s="18"/>
      <c r="O62" s="18"/>
      <c r="P62" s="19" t="str">
        <f t="shared" si="1"/>
        <v/>
      </c>
      <c r="R62" s="116"/>
      <c r="S62" s="116"/>
      <c r="T62" s="116"/>
      <c r="U62" s="116"/>
      <c r="V62" s="116"/>
      <c r="W62" s="116"/>
      <c r="X62" s="15" t="str">
        <f t="shared" si="2"/>
        <v/>
      </c>
    </row>
    <row r="63" spans="2:24" ht="18.75" customHeight="1" x14ac:dyDescent="0.3">
      <c r="B63" s="116" t="s">
        <v>1</v>
      </c>
      <c r="C63" s="116" t="s">
        <v>14</v>
      </c>
      <c r="D63" s="116" t="s">
        <v>172</v>
      </c>
      <c r="E63" s="116">
        <v>56</v>
      </c>
      <c r="F63" s="116">
        <v>73</v>
      </c>
      <c r="G63" s="116"/>
      <c r="H63" s="15" t="str">
        <f t="shared" si="0"/>
        <v>5G 초이스 베이직</v>
      </c>
      <c r="J63" s="18"/>
      <c r="K63" s="18"/>
      <c r="L63" s="18"/>
      <c r="M63" s="18"/>
      <c r="N63" s="18"/>
      <c r="O63" s="18"/>
      <c r="P63" s="19" t="str">
        <f t="shared" si="1"/>
        <v/>
      </c>
      <c r="R63" s="116"/>
      <c r="S63" s="116"/>
      <c r="T63" s="116"/>
      <c r="U63" s="116"/>
      <c r="V63" s="116"/>
      <c r="W63" s="116"/>
      <c r="X63" s="15" t="str">
        <f t="shared" si="2"/>
        <v/>
      </c>
    </row>
    <row r="64" spans="2:24" ht="18.75" customHeight="1" x14ac:dyDescent="0.3">
      <c r="B64" s="116" t="s">
        <v>1</v>
      </c>
      <c r="C64" s="116" t="s">
        <v>14</v>
      </c>
      <c r="D64" s="116" t="s">
        <v>173</v>
      </c>
      <c r="E64" s="116">
        <v>86</v>
      </c>
      <c r="F64" s="116">
        <v>103</v>
      </c>
      <c r="G64" s="116"/>
      <c r="H64" s="15" t="str">
        <f t="shared" si="0"/>
        <v>5G 초이스 베이직</v>
      </c>
      <c r="J64" s="18"/>
      <c r="K64" s="18"/>
      <c r="L64" s="18"/>
      <c r="M64" s="18"/>
      <c r="N64" s="18"/>
      <c r="O64" s="18"/>
      <c r="P64" s="19" t="str">
        <f t="shared" si="1"/>
        <v/>
      </c>
      <c r="R64" s="116"/>
      <c r="S64" s="116"/>
      <c r="T64" s="116"/>
      <c r="U64" s="116"/>
      <c r="V64" s="116"/>
      <c r="W64" s="116"/>
      <c r="X64" s="15" t="str">
        <f t="shared" si="2"/>
        <v/>
      </c>
    </row>
    <row r="65" spans="2:24" ht="18.75" customHeight="1" x14ac:dyDescent="0.3">
      <c r="B65" s="116" t="s">
        <v>1</v>
      </c>
      <c r="C65" s="116" t="s">
        <v>14</v>
      </c>
      <c r="D65" s="116" t="s">
        <v>174</v>
      </c>
      <c r="E65" s="116">
        <v>81</v>
      </c>
      <c r="F65" s="116">
        <v>93</v>
      </c>
      <c r="G65" s="116"/>
      <c r="H65" s="15" t="str">
        <f t="shared" si="0"/>
        <v>5G 초이스 베이직</v>
      </c>
      <c r="J65" s="18"/>
      <c r="K65" s="18"/>
      <c r="L65" s="18"/>
      <c r="M65" s="18"/>
      <c r="N65" s="18"/>
      <c r="O65" s="18"/>
      <c r="P65" s="19" t="str">
        <f t="shared" si="1"/>
        <v/>
      </c>
      <c r="R65" s="116"/>
      <c r="S65" s="116"/>
      <c r="T65" s="116"/>
      <c r="U65" s="116"/>
      <c r="V65" s="116"/>
      <c r="W65" s="116"/>
      <c r="X65" s="15" t="str">
        <f t="shared" si="2"/>
        <v/>
      </c>
    </row>
    <row r="66" spans="2:24" ht="18.75" customHeight="1" x14ac:dyDescent="0.3">
      <c r="B66" s="116" t="s">
        <v>1</v>
      </c>
      <c r="C66" s="116" t="s">
        <v>14</v>
      </c>
      <c r="D66" s="116" t="s">
        <v>175</v>
      </c>
      <c r="E66" s="116">
        <v>112</v>
      </c>
      <c r="F66" s="116">
        <v>124</v>
      </c>
      <c r="G66" s="116"/>
      <c r="H66" s="15" t="str">
        <f t="shared" si="0"/>
        <v>5G 초이스 베이직</v>
      </c>
      <c r="J66" s="18"/>
      <c r="K66" s="18"/>
      <c r="L66" s="18"/>
      <c r="M66" s="18"/>
      <c r="N66" s="18"/>
      <c r="O66" s="18"/>
      <c r="P66" s="19" t="str">
        <f t="shared" si="1"/>
        <v/>
      </c>
      <c r="R66" s="116"/>
      <c r="S66" s="116"/>
      <c r="T66" s="116"/>
      <c r="U66" s="116"/>
      <c r="V66" s="116"/>
      <c r="W66" s="116"/>
      <c r="X66" s="15" t="str">
        <f t="shared" si="2"/>
        <v/>
      </c>
    </row>
    <row r="67" spans="2:24" ht="18.75" customHeight="1" x14ac:dyDescent="0.3">
      <c r="B67" s="116" t="s">
        <v>1</v>
      </c>
      <c r="C67" s="116" t="s">
        <v>14</v>
      </c>
      <c r="D67" s="116" t="s">
        <v>176</v>
      </c>
      <c r="E67" s="116">
        <v>131</v>
      </c>
      <c r="F67" s="116">
        <v>143</v>
      </c>
      <c r="G67" s="116"/>
      <c r="H67" s="15" t="str">
        <f t="shared" si="0"/>
        <v>5G 초이스 베이직</v>
      </c>
      <c r="J67" s="18"/>
      <c r="K67" s="18"/>
      <c r="L67" s="18"/>
      <c r="M67" s="18"/>
      <c r="N67" s="18"/>
      <c r="O67" s="18"/>
      <c r="P67" s="19" t="str">
        <f t="shared" si="1"/>
        <v/>
      </c>
      <c r="R67" s="116"/>
      <c r="S67" s="116"/>
      <c r="T67" s="116"/>
      <c r="U67" s="116"/>
      <c r="V67" s="116"/>
      <c r="W67" s="116"/>
      <c r="X67" s="15" t="str">
        <f t="shared" si="2"/>
        <v/>
      </c>
    </row>
    <row r="68" spans="2:24" ht="18.75" customHeight="1" x14ac:dyDescent="0.3">
      <c r="B68" s="116" t="s">
        <v>1</v>
      </c>
      <c r="C68" s="116" t="s">
        <v>14</v>
      </c>
      <c r="D68" s="116" t="s">
        <v>177</v>
      </c>
      <c r="E68" s="116">
        <v>162</v>
      </c>
      <c r="F68" s="116">
        <v>174</v>
      </c>
      <c r="G68" s="116"/>
      <c r="H68" s="15" t="str">
        <f t="shared" si="0"/>
        <v>5G 초이스 베이직</v>
      </c>
      <c r="J68" s="18"/>
      <c r="K68" s="18"/>
      <c r="L68" s="18"/>
      <c r="M68" s="18"/>
      <c r="N68" s="18"/>
      <c r="O68" s="18"/>
      <c r="P68" s="19" t="str">
        <f t="shared" si="1"/>
        <v/>
      </c>
      <c r="R68" s="116"/>
      <c r="S68" s="116"/>
      <c r="T68" s="116"/>
      <c r="U68" s="116"/>
      <c r="V68" s="116"/>
      <c r="W68" s="116"/>
      <c r="X68" s="15" t="str">
        <f t="shared" si="2"/>
        <v/>
      </c>
    </row>
    <row r="69" spans="2:24" ht="18.75" customHeight="1" x14ac:dyDescent="0.3">
      <c r="B69" s="116" t="s">
        <v>1</v>
      </c>
      <c r="C69" s="116" t="s">
        <v>14</v>
      </c>
      <c r="D69" s="116" t="s">
        <v>31</v>
      </c>
      <c r="E69" s="116">
        <v>-20</v>
      </c>
      <c r="F69" s="116">
        <v>-3</v>
      </c>
      <c r="G69" s="116"/>
      <c r="H69" s="15" t="str">
        <f t="shared" si="0"/>
        <v>5G 초이스 베이직</v>
      </c>
      <c r="J69" s="18"/>
      <c r="K69" s="18"/>
      <c r="L69" s="18"/>
      <c r="M69" s="18"/>
      <c r="N69" s="18"/>
      <c r="O69" s="18"/>
      <c r="P69" s="19" t="str">
        <f t="shared" si="1"/>
        <v/>
      </c>
      <c r="R69" s="116"/>
      <c r="S69" s="116"/>
      <c r="T69" s="116"/>
      <c r="U69" s="116"/>
      <c r="V69" s="116"/>
      <c r="W69" s="116"/>
      <c r="X69" s="15" t="str">
        <f t="shared" si="2"/>
        <v/>
      </c>
    </row>
    <row r="70" spans="2:24" ht="18.75" customHeight="1" x14ac:dyDescent="0.3">
      <c r="B70" s="116" t="s">
        <v>1</v>
      </c>
      <c r="C70" s="116" t="s">
        <v>14</v>
      </c>
      <c r="D70" s="116" t="s">
        <v>349</v>
      </c>
      <c r="E70" s="116">
        <v>9</v>
      </c>
      <c r="F70" s="116">
        <v>26</v>
      </c>
      <c r="G70" s="116"/>
      <c r="H70" s="15" t="str">
        <f t="shared" si="0"/>
        <v>5G 초이스 베이직</v>
      </c>
      <c r="J70" s="18"/>
      <c r="K70" s="18"/>
      <c r="L70" s="18"/>
      <c r="M70" s="18"/>
      <c r="N70" s="18"/>
      <c r="O70" s="18"/>
      <c r="P70" s="19" t="str">
        <f t="shared" si="1"/>
        <v/>
      </c>
      <c r="R70" s="116"/>
      <c r="S70" s="116"/>
      <c r="T70" s="116"/>
      <c r="U70" s="116"/>
      <c r="V70" s="116"/>
      <c r="W70" s="116"/>
      <c r="X70" s="15" t="str">
        <f t="shared" si="2"/>
        <v/>
      </c>
    </row>
    <row r="71" spans="2:24" ht="18.75" customHeight="1" x14ac:dyDescent="0.3">
      <c r="B71" s="116" t="s">
        <v>1</v>
      </c>
      <c r="C71" s="116" t="s">
        <v>14</v>
      </c>
      <c r="D71" s="116" t="s">
        <v>350</v>
      </c>
      <c r="E71" s="116">
        <v>42</v>
      </c>
      <c r="F71" s="116">
        <v>54</v>
      </c>
      <c r="G71" s="116"/>
      <c r="H71" s="15" t="str">
        <f t="shared" ref="H71:H94" si="3">SUBSTITUTE($C71, " (초이스선택가능)","")</f>
        <v>5G 초이스 베이직</v>
      </c>
      <c r="J71" s="18"/>
      <c r="K71" s="18"/>
      <c r="L71" s="18"/>
      <c r="M71" s="18"/>
      <c r="N71" s="18"/>
      <c r="O71" s="18"/>
      <c r="P71" s="19" t="str">
        <f t="shared" ref="P71:P94" si="4">SUBSTITUTE($K71, "(초이스선택가능)","")</f>
        <v/>
      </c>
      <c r="R71" s="116"/>
      <c r="S71" s="116"/>
      <c r="T71" s="116"/>
      <c r="U71" s="116"/>
      <c r="V71" s="116"/>
      <c r="W71" s="116"/>
      <c r="X71" s="15" t="str">
        <f t="shared" ref="X71:X94" si="5">SUBSTITUTE(S71,"(넷플릭스)","")</f>
        <v/>
      </c>
    </row>
    <row r="72" spans="2:24" ht="18.75" customHeight="1" x14ac:dyDescent="0.3">
      <c r="B72" s="116" t="s">
        <v>1</v>
      </c>
      <c r="C72" s="116" t="s">
        <v>14</v>
      </c>
      <c r="D72" s="116" t="s">
        <v>351</v>
      </c>
      <c r="E72" s="116">
        <v>63</v>
      </c>
      <c r="F72" s="116">
        <v>75</v>
      </c>
      <c r="G72" s="116"/>
      <c r="H72" s="15" t="str">
        <f t="shared" si="3"/>
        <v>5G 초이스 베이직</v>
      </c>
      <c r="J72" s="18"/>
      <c r="K72" s="18"/>
      <c r="L72" s="18"/>
      <c r="M72" s="18"/>
      <c r="N72" s="18"/>
      <c r="O72" s="18"/>
      <c r="P72" s="19" t="str">
        <f t="shared" si="4"/>
        <v/>
      </c>
      <c r="R72" s="116"/>
      <c r="S72" s="116"/>
      <c r="T72" s="116"/>
      <c r="U72" s="116"/>
      <c r="V72" s="116"/>
      <c r="W72" s="116"/>
      <c r="X72" s="15" t="str">
        <f t="shared" si="5"/>
        <v/>
      </c>
    </row>
    <row r="73" spans="2:24" ht="18.75" customHeight="1" x14ac:dyDescent="0.3">
      <c r="B73" s="116" t="s">
        <v>1</v>
      </c>
      <c r="C73" s="116" t="s">
        <v>18</v>
      </c>
      <c r="D73" s="116" t="s">
        <v>351</v>
      </c>
      <c r="E73" s="116">
        <v>63</v>
      </c>
      <c r="F73" s="116">
        <v>75</v>
      </c>
      <c r="G73" s="116"/>
      <c r="H73" s="15" t="str">
        <f t="shared" si="3"/>
        <v>5G 초이스 스페셜</v>
      </c>
      <c r="J73" s="18"/>
      <c r="K73" s="18"/>
      <c r="L73" s="18"/>
      <c r="M73" s="18"/>
      <c r="N73" s="18"/>
      <c r="O73" s="18"/>
      <c r="P73" s="19" t="str">
        <f t="shared" si="4"/>
        <v/>
      </c>
      <c r="R73" s="116"/>
      <c r="S73" s="116"/>
      <c r="T73" s="116"/>
      <c r="U73" s="116"/>
      <c r="V73" s="116"/>
      <c r="W73" s="116"/>
      <c r="X73" s="15" t="str">
        <f t="shared" si="5"/>
        <v/>
      </c>
    </row>
    <row r="74" spans="2:24" ht="18.75" customHeight="1" x14ac:dyDescent="0.3">
      <c r="B74" s="116" t="s">
        <v>1</v>
      </c>
      <c r="C74" s="116" t="s">
        <v>14</v>
      </c>
      <c r="D74" s="116" t="s">
        <v>347</v>
      </c>
      <c r="E74" s="116">
        <v>111</v>
      </c>
      <c r="F74" s="116">
        <v>111</v>
      </c>
      <c r="G74" s="116"/>
      <c r="H74" s="15" t="str">
        <f t="shared" si="3"/>
        <v>5G 초이스 베이직</v>
      </c>
      <c r="J74" s="18"/>
      <c r="K74" s="18"/>
      <c r="L74" s="18"/>
      <c r="M74" s="18"/>
      <c r="N74" s="18"/>
      <c r="O74" s="18"/>
      <c r="P74" s="19" t="str">
        <f t="shared" si="4"/>
        <v/>
      </c>
      <c r="R74" s="116"/>
      <c r="S74" s="116"/>
      <c r="T74" s="116"/>
      <c r="U74" s="116"/>
      <c r="V74" s="116"/>
      <c r="W74" s="116"/>
      <c r="X74" s="15" t="str">
        <f t="shared" si="5"/>
        <v/>
      </c>
    </row>
    <row r="75" spans="2:24" ht="18.75" customHeight="1" x14ac:dyDescent="0.3">
      <c r="B75" s="116" t="s">
        <v>1</v>
      </c>
      <c r="C75" s="116" t="s">
        <v>14</v>
      </c>
      <c r="D75" s="116" t="s">
        <v>348</v>
      </c>
      <c r="E75" s="116">
        <v>124</v>
      </c>
      <c r="F75" s="116">
        <v>121</v>
      </c>
      <c r="G75" s="116"/>
      <c r="H75" s="15" t="str">
        <f t="shared" si="3"/>
        <v>5G 초이스 베이직</v>
      </c>
      <c r="J75" s="18"/>
      <c r="K75" s="18"/>
      <c r="L75" s="18"/>
      <c r="M75" s="18"/>
      <c r="N75" s="18"/>
      <c r="O75" s="18"/>
      <c r="P75" s="19" t="str">
        <f t="shared" si="4"/>
        <v/>
      </c>
      <c r="R75" s="116"/>
      <c r="S75" s="116"/>
      <c r="T75" s="116"/>
      <c r="U75" s="116"/>
      <c r="V75" s="116"/>
      <c r="W75" s="116"/>
      <c r="X75" s="15" t="str">
        <f t="shared" si="5"/>
        <v/>
      </c>
    </row>
    <row r="76" spans="2:24" ht="18.75" customHeight="1" x14ac:dyDescent="0.3">
      <c r="B76" s="116" t="s">
        <v>1</v>
      </c>
      <c r="C76" s="116" t="s">
        <v>18</v>
      </c>
      <c r="D76" s="116" t="s">
        <v>352</v>
      </c>
      <c r="E76" s="116">
        <v>131</v>
      </c>
      <c r="F76" s="116">
        <v>131</v>
      </c>
      <c r="G76" s="116"/>
      <c r="H76" s="15" t="str">
        <f t="shared" si="3"/>
        <v>5G 초이스 스페셜</v>
      </c>
      <c r="J76" s="18"/>
      <c r="K76" s="18"/>
      <c r="L76" s="18"/>
      <c r="M76" s="18"/>
      <c r="N76" s="18"/>
      <c r="O76" s="18"/>
      <c r="P76" s="19" t="str">
        <f t="shared" si="4"/>
        <v/>
      </c>
      <c r="R76" s="116"/>
      <c r="S76" s="116"/>
      <c r="T76" s="116"/>
      <c r="U76" s="116"/>
      <c r="V76" s="116"/>
      <c r="W76" s="116"/>
      <c r="X76" s="15" t="str">
        <f t="shared" si="5"/>
        <v/>
      </c>
    </row>
    <row r="77" spans="2:24" ht="18.75" customHeight="1" x14ac:dyDescent="0.3">
      <c r="B77" s="116" t="s">
        <v>1</v>
      </c>
      <c r="C77" s="116" t="s">
        <v>14</v>
      </c>
      <c r="D77" s="116" t="s">
        <v>352</v>
      </c>
      <c r="E77" s="116">
        <v>131</v>
      </c>
      <c r="F77" s="116">
        <v>131</v>
      </c>
      <c r="G77" s="116"/>
      <c r="H77" s="15" t="str">
        <f t="shared" si="3"/>
        <v>5G 초이스 베이직</v>
      </c>
      <c r="J77" s="18"/>
      <c r="K77" s="18"/>
      <c r="L77" s="18"/>
      <c r="M77" s="18"/>
      <c r="N77" s="18"/>
      <c r="O77" s="18"/>
      <c r="P77" s="19" t="str">
        <f t="shared" si="4"/>
        <v/>
      </c>
      <c r="R77" s="116"/>
      <c r="S77" s="116"/>
      <c r="T77" s="116"/>
      <c r="U77" s="116"/>
      <c r="V77" s="116"/>
      <c r="W77" s="116"/>
      <c r="X77" s="15" t="str">
        <f t="shared" si="5"/>
        <v/>
      </c>
    </row>
    <row r="78" spans="2:24" ht="18.75" customHeight="1" x14ac:dyDescent="0.3">
      <c r="B78" s="116" t="s">
        <v>1</v>
      </c>
      <c r="C78" s="116" t="s">
        <v>18</v>
      </c>
      <c r="D78" s="116" t="s">
        <v>295</v>
      </c>
      <c r="E78" s="116">
        <v>14</v>
      </c>
      <c r="F78" s="116">
        <v>17</v>
      </c>
      <c r="G78" s="116"/>
      <c r="H78" s="15" t="str">
        <f t="shared" si="3"/>
        <v>5G 초이스 스페셜</v>
      </c>
      <c r="J78" s="18"/>
      <c r="K78" s="18"/>
      <c r="L78" s="18"/>
      <c r="M78" s="18"/>
      <c r="N78" s="18"/>
      <c r="O78" s="18"/>
      <c r="P78" s="19" t="str">
        <f t="shared" si="4"/>
        <v/>
      </c>
      <c r="R78" s="116"/>
      <c r="S78" s="116"/>
      <c r="T78" s="116"/>
      <c r="U78" s="116"/>
      <c r="V78" s="116"/>
      <c r="W78" s="116"/>
      <c r="X78" s="15" t="str">
        <f t="shared" si="5"/>
        <v/>
      </c>
    </row>
    <row r="79" spans="2:24" ht="18.75" customHeight="1" x14ac:dyDescent="0.3">
      <c r="B79" s="116" t="s">
        <v>1</v>
      </c>
      <c r="C79" s="116"/>
      <c r="D79" s="116" t="s">
        <v>348</v>
      </c>
      <c r="E79" s="116">
        <v>158</v>
      </c>
      <c r="F79" s="116">
        <v>158</v>
      </c>
      <c r="G79" s="116"/>
      <c r="H79" s="15" t="str">
        <f t="shared" si="3"/>
        <v/>
      </c>
      <c r="J79" s="18"/>
      <c r="K79" s="18"/>
      <c r="L79" s="18"/>
      <c r="M79" s="18"/>
      <c r="N79" s="18"/>
      <c r="O79" s="18"/>
      <c r="P79" s="19" t="str">
        <f t="shared" si="4"/>
        <v/>
      </c>
      <c r="R79" s="116"/>
      <c r="S79" s="116"/>
      <c r="T79" s="116"/>
      <c r="U79" s="116"/>
      <c r="V79" s="116"/>
      <c r="W79" s="116"/>
      <c r="X79" s="15" t="str">
        <f t="shared" si="5"/>
        <v/>
      </c>
    </row>
    <row r="80" spans="2:24" ht="18.75" customHeight="1" x14ac:dyDescent="0.3">
      <c r="B80" s="116" t="s">
        <v>1</v>
      </c>
      <c r="C80" s="116"/>
      <c r="D80" s="116" t="s">
        <v>341</v>
      </c>
      <c r="E80" s="116">
        <v>32</v>
      </c>
      <c r="F80" s="116">
        <v>32</v>
      </c>
      <c r="G80" s="116"/>
      <c r="H80" s="15" t="str">
        <f t="shared" si="3"/>
        <v/>
      </c>
      <c r="J80" s="18"/>
      <c r="K80" s="18"/>
      <c r="L80" s="18"/>
      <c r="M80" s="18"/>
      <c r="N80" s="18"/>
      <c r="O80" s="18"/>
      <c r="P80" s="19" t="str">
        <f t="shared" si="4"/>
        <v/>
      </c>
      <c r="R80" s="116"/>
      <c r="S80" s="116"/>
      <c r="T80" s="116"/>
      <c r="U80" s="116"/>
      <c r="V80" s="116"/>
      <c r="W80" s="116"/>
      <c r="X80" s="15" t="str">
        <f t="shared" si="5"/>
        <v/>
      </c>
    </row>
    <row r="81" spans="2:24" ht="18.75" customHeight="1" x14ac:dyDescent="0.3">
      <c r="B81" s="116" t="s">
        <v>1</v>
      </c>
      <c r="C81" s="116"/>
      <c r="D81" s="116" t="s">
        <v>333</v>
      </c>
      <c r="E81" s="116">
        <v>35</v>
      </c>
      <c r="F81" s="116">
        <v>35</v>
      </c>
      <c r="G81" s="116"/>
      <c r="H81" s="15" t="str">
        <f t="shared" si="3"/>
        <v/>
      </c>
      <c r="J81" s="18"/>
      <c r="K81" s="18"/>
      <c r="L81" s="18"/>
      <c r="M81" s="18"/>
      <c r="N81" s="18"/>
      <c r="O81" s="18"/>
      <c r="P81" s="19" t="str">
        <f t="shared" si="4"/>
        <v/>
      </c>
      <c r="R81" s="116"/>
      <c r="S81" s="116"/>
      <c r="T81" s="116"/>
      <c r="U81" s="116"/>
      <c r="V81" s="116"/>
      <c r="W81" s="116"/>
      <c r="X81" s="15" t="str">
        <f t="shared" si="5"/>
        <v/>
      </c>
    </row>
    <row r="82" spans="2:24" ht="18.75" customHeight="1" x14ac:dyDescent="0.3">
      <c r="B82" s="116" t="s">
        <v>1</v>
      </c>
      <c r="C82" s="116"/>
      <c r="D82" s="116" t="s">
        <v>357</v>
      </c>
      <c r="E82" s="116">
        <v>45</v>
      </c>
      <c r="F82" s="116">
        <v>45</v>
      </c>
      <c r="G82" s="116"/>
      <c r="H82" s="15" t="str">
        <f t="shared" si="3"/>
        <v/>
      </c>
      <c r="J82" s="18"/>
      <c r="K82" s="18"/>
      <c r="L82" s="18"/>
      <c r="M82" s="18"/>
      <c r="N82" s="18"/>
      <c r="O82" s="18"/>
      <c r="P82" s="19" t="str">
        <f t="shared" si="4"/>
        <v/>
      </c>
      <c r="R82" s="116"/>
      <c r="S82" s="116"/>
      <c r="T82" s="116"/>
      <c r="U82" s="116"/>
      <c r="V82" s="116"/>
      <c r="W82" s="116"/>
      <c r="X82" s="15" t="str">
        <f t="shared" si="5"/>
        <v/>
      </c>
    </row>
    <row r="83" spans="2:24" ht="18.75" customHeight="1" x14ac:dyDescent="0.3">
      <c r="B83" s="116" t="s">
        <v>1</v>
      </c>
      <c r="C83" s="116"/>
      <c r="D83" s="116" t="s">
        <v>367</v>
      </c>
      <c r="E83" s="116">
        <v>238</v>
      </c>
      <c r="F83" s="116">
        <v>238</v>
      </c>
      <c r="G83" s="116"/>
      <c r="H83" s="15" t="str">
        <f t="shared" si="3"/>
        <v/>
      </c>
      <c r="J83" s="18"/>
      <c r="K83" s="18"/>
      <c r="L83" s="18"/>
      <c r="M83" s="18"/>
      <c r="N83" s="18"/>
      <c r="O83" s="18"/>
      <c r="P83" s="19" t="str">
        <f t="shared" si="4"/>
        <v/>
      </c>
      <c r="R83" s="116"/>
      <c r="S83" s="116"/>
      <c r="T83" s="116"/>
      <c r="U83" s="116"/>
      <c r="V83" s="116"/>
      <c r="W83" s="116"/>
      <c r="X83" s="15" t="str">
        <f t="shared" si="5"/>
        <v/>
      </c>
    </row>
    <row r="84" spans="2:24" ht="18.75" customHeight="1" x14ac:dyDescent="0.3">
      <c r="B84" s="116" t="s">
        <v>1</v>
      </c>
      <c r="C84" s="116"/>
      <c r="D84" s="116" t="s">
        <v>368</v>
      </c>
      <c r="E84" s="116">
        <v>149</v>
      </c>
      <c r="F84" s="116">
        <v>149</v>
      </c>
      <c r="G84" s="116"/>
      <c r="H84" s="15" t="str">
        <f t="shared" si="3"/>
        <v/>
      </c>
      <c r="J84" s="18"/>
      <c r="K84" s="18"/>
      <c r="L84" s="18"/>
      <c r="M84" s="18"/>
      <c r="N84" s="18"/>
      <c r="O84" s="18"/>
      <c r="P84" s="19" t="str">
        <f t="shared" si="4"/>
        <v/>
      </c>
      <c r="R84" s="116"/>
      <c r="S84" s="116"/>
      <c r="T84" s="116"/>
      <c r="U84" s="116"/>
      <c r="V84" s="116"/>
      <c r="W84" s="116"/>
      <c r="X84" s="15" t="str">
        <f t="shared" si="5"/>
        <v/>
      </c>
    </row>
    <row r="85" spans="2:24" ht="18.75" customHeight="1" x14ac:dyDescent="0.3">
      <c r="B85" s="116"/>
      <c r="C85" s="116"/>
      <c r="D85" s="116"/>
      <c r="E85" s="116"/>
      <c r="F85" s="116"/>
      <c r="G85" s="116"/>
      <c r="H85" s="15" t="str">
        <f t="shared" si="3"/>
        <v/>
      </c>
      <c r="J85" s="18"/>
      <c r="K85" s="18"/>
      <c r="L85" s="18"/>
      <c r="M85" s="18"/>
      <c r="N85" s="18"/>
      <c r="O85" s="18"/>
      <c r="P85" s="19" t="str">
        <f t="shared" si="4"/>
        <v/>
      </c>
      <c r="R85" s="116"/>
      <c r="S85" s="116"/>
      <c r="T85" s="116"/>
      <c r="U85" s="116"/>
      <c r="V85" s="116"/>
      <c r="W85" s="116"/>
      <c r="X85" s="15" t="str">
        <f t="shared" si="5"/>
        <v/>
      </c>
    </row>
    <row r="86" spans="2:24" ht="18.75" customHeight="1" x14ac:dyDescent="0.3">
      <c r="B86" s="116"/>
      <c r="C86" s="116"/>
      <c r="D86" s="116"/>
      <c r="E86" s="116"/>
      <c r="F86" s="116"/>
      <c r="G86" s="116"/>
      <c r="H86" s="15" t="str">
        <f t="shared" si="3"/>
        <v/>
      </c>
      <c r="J86" s="18"/>
      <c r="K86" s="18"/>
      <c r="L86" s="18"/>
      <c r="M86" s="18"/>
      <c r="N86" s="18"/>
      <c r="O86" s="18"/>
      <c r="P86" s="19" t="str">
        <f t="shared" si="4"/>
        <v/>
      </c>
      <c r="R86" s="116"/>
      <c r="S86" s="116"/>
      <c r="T86" s="116"/>
      <c r="U86" s="116"/>
      <c r="V86" s="116"/>
      <c r="W86" s="116"/>
      <c r="X86" s="15" t="str">
        <f t="shared" si="5"/>
        <v/>
      </c>
    </row>
    <row r="87" spans="2:24" ht="18.75" customHeight="1" x14ac:dyDescent="0.3">
      <c r="B87" s="116"/>
      <c r="C87" s="116"/>
      <c r="D87" s="116"/>
      <c r="E87" s="116"/>
      <c r="F87" s="116"/>
      <c r="G87" s="116"/>
      <c r="H87" s="15" t="str">
        <f t="shared" si="3"/>
        <v/>
      </c>
      <c r="J87" s="18"/>
      <c r="K87" s="18"/>
      <c r="L87" s="18"/>
      <c r="M87" s="18"/>
      <c r="N87" s="18"/>
      <c r="O87" s="18"/>
      <c r="P87" s="19" t="str">
        <f t="shared" si="4"/>
        <v/>
      </c>
      <c r="R87" s="116"/>
      <c r="S87" s="116"/>
      <c r="T87" s="116"/>
      <c r="U87" s="116"/>
      <c r="V87" s="116"/>
      <c r="W87" s="116"/>
      <c r="X87" s="15" t="str">
        <f t="shared" si="5"/>
        <v/>
      </c>
    </row>
    <row r="88" spans="2:24" ht="18.75" customHeight="1" x14ac:dyDescent="0.3">
      <c r="B88" s="116"/>
      <c r="C88" s="116"/>
      <c r="D88" s="116"/>
      <c r="E88" s="116"/>
      <c r="F88" s="116"/>
      <c r="G88" s="116"/>
      <c r="H88" s="15" t="str">
        <f t="shared" si="3"/>
        <v/>
      </c>
      <c r="J88" s="18"/>
      <c r="K88" s="18"/>
      <c r="L88" s="18"/>
      <c r="M88" s="18"/>
      <c r="N88" s="18"/>
      <c r="O88" s="18"/>
      <c r="P88" s="19" t="str">
        <f t="shared" si="4"/>
        <v/>
      </c>
      <c r="R88" s="116"/>
      <c r="S88" s="116"/>
      <c r="T88" s="116"/>
      <c r="U88" s="116"/>
      <c r="V88" s="116"/>
      <c r="W88" s="116"/>
      <c r="X88" s="15" t="str">
        <f t="shared" si="5"/>
        <v/>
      </c>
    </row>
    <row r="89" spans="2:24" ht="18.75" customHeight="1" x14ac:dyDescent="0.3">
      <c r="B89" s="116"/>
      <c r="C89" s="116"/>
      <c r="D89" s="116"/>
      <c r="E89" s="116"/>
      <c r="F89" s="116"/>
      <c r="G89" s="116"/>
      <c r="H89" s="15" t="str">
        <f t="shared" si="3"/>
        <v/>
      </c>
      <c r="J89" s="18"/>
      <c r="K89" s="18"/>
      <c r="L89" s="18"/>
      <c r="M89" s="18"/>
      <c r="N89" s="18"/>
      <c r="O89" s="18"/>
      <c r="P89" s="19" t="str">
        <f t="shared" si="4"/>
        <v/>
      </c>
      <c r="R89" s="116"/>
      <c r="S89" s="116"/>
      <c r="T89" s="116"/>
      <c r="U89" s="116"/>
      <c r="V89" s="116"/>
      <c r="W89" s="116"/>
      <c r="X89" s="15" t="str">
        <f t="shared" si="5"/>
        <v/>
      </c>
    </row>
    <row r="90" spans="2:24" ht="18.75" customHeight="1" x14ac:dyDescent="0.3">
      <c r="B90" s="116"/>
      <c r="C90" s="116"/>
      <c r="D90" s="116"/>
      <c r="E90" s="116"/>
      <c r="F90" s="116"/>
      <c r="G90" s="116"/>
      <c r="H90" s="15" t="str">
        <f t="shared" si="3"/>
        <v/>
      </c>
      <c r="J90" s="18"/>
      <c r="K90" s="18"/>
      <c r="L90" s="18"/>
      <c r="M90" s="18"/>
      <c r="N90" s="18"/>
      <c r="O90" s="18"/>
      <c r="P90" s="19" t="str">
        <f t="shared" si="4"/>
        <v/>
      </c>
      <c r="R90" s="116"/>
      <c r="S90" s="116"/>
      <c r="T90" s="116"/>
      <c r="U90" s="116"/>
      <c r="V90" s="116"/>
      <c r="W90" s="116"/>
      <c r="X90" s="15" t="str">
        <f t="shared" si="5"/>
        <v/>
      </c>
    </row>
    <row r="91" spans="2:24" ht="18.75" customHeight="1" x14ac:dyDescent="0.3">
      <c r="B91" s="116"/>
      <c r="C91" s="116"/>
      <c r="D91" s="116"/>
      <c r="E91" s="116"/>
      <c r="F91" s="116"/>
      <c r="G91" s="116"/>
      <c r="H91" s="15" t="str">
        <f t="shared" si="3"/>
        <v/>
      </c>
      <c r="J91" s="18"/>
      <c r="K91" s="18"/>
      <c r="L91" s="18"/>
      <c r="M91" s="18"/>
      <c r="N91" s="18"/>
      <c r="O91" s="18"/>
      <c r="P91" s="19" t="str">
        <f t="shared" si="4"/>
        <v/>
      </c>
      <c r="R91" s="116"/>
      <c r="S91" s="116"/>
      <c r="T91" s="116"/>
      <c r="U91" s="116"/>
      <c r="V91" s="116"/>
      <c r="W91" s="116"/>
      <c r="X91" s="15" t="str">
        <f t="shared" si="5"/>
        <v/>
      </c>
    </row>
    <row r="92" spans="2:24" ht="18.75" customHeight="1" x14ac:dyDescent="0.3">
      <c r="B92" s="116"/>
      <c r="C92" s="116"/>
      <c r="D92" s="116"/>
      <c r="E92" s="116"/>
      <c r="F92" s="116"/>
      <c r="G92" s="116"/>
      <c r="H92" s="15" t="str">
        <f t="shared" si="3"/>
        <v/>
      </c>
      <c r="J92" s="18"/>
      <c r="K92" s="18"/>
      <c r="L92" s="18"/>
      <c r="M92" s="18"/>
      <c r="N92" s="18"/>
      <c r="O92" s="18"/>
      <c r="P92" s="19" t="str">
        <f t="shared" si="4"/>
        <v/>
      </c>
      <c r="R92" s="116"/>
      <c r="S92" s="116"/>
      <c r="T92" s="116"/>
      <c r="U92" s="116"/>
      <c r="V92" s="116"/>
      <c r="W92" s="116"/>
      <c r="X92" s="15" t="str">
        <f t="shared" si="5"/>
        <v/>
      </c>
    </row>
    <row r="93" spans="2:24" ht="18.75" customHeight="1" x14ac:dyDescent="0.3">
      <c r="B93" s="116"/>
      <c r="C93" s="116"/>
      <c r="D93" s="116"/>
      <c r="E93" s="116"/>
      <c r="F93" s="116"/>
      <c r="G93" s="116"/>
      <c r="H93" s="15" t="str">
        <f t="shared" si="3"/>
        <v/>
      </c>
      <c r="J93" s="18"/>
      <c r="K93" s="18"/>
      <c r="L93" s="18"/>
      <c r="M93" s="18"/>
      <c r="N93" s="18"/>
      <c r="O93" s="18"/>
      <c r="P93" s="19" t="str">
        <f t="shared" si="4"/>
        <v/>
      </c>
      <c r="R93" s="116"/>
      <c r="S93" s="116"/>
      <c r="T93" s="116"/>
      <c r="U93" s="116"/>
      <c r="V93" s="116"/>
      <c r="W93" s="116"/>
      <c r="X93" s="15" t="str">
        <f t="shared" si="5"/>
        <v/>
      </c>
    </row>
    <row r="94" spans="2:24" ht="18.75" customHeight="1" x14ac:dyDescent="0.3">
      <c r="B94" s="116"/>
      <c r="C94" s="116"/>
      <c r="D94" s="116"/>
      <c r="E94" s="116"/>
      <c r="F94" s="116"/>
      <c r="G94" s="116"/>
      <c r="H94" s="15" t="str">
        <f t="shared" si="3"/>
        <v/>
      </c>
      <c r="J94" s="18"/>
      <c r="K94" s="18"/>
      <c r="L94" s="18"/>
      <c r="M94" s="18"/>
      <c r="N94" s="18"/>
      <c r="O94" s="18"/>
      <c r="P94" s="19" t="str">
        <f t="shared" si="4"/>
        <v/>
      </c>
      <c r="R94" s="116"/>
      <c r="S94" s="116"/>
      <c r="T94" s="116"/>
      <c r="U94" s="116"/>
      <c r="V94" s="116"/>
      <c r="W94" s="116"/>
      <c r="X94" s="15" t="str">
        <f t="shared" si="5"/>
        <v/>
      </c>
    </row>
  </sheetData>
  <mergeCells count="3">
    <mergeCell ref="B4:G4"/>
    <mergeCell ref="J4:O4"/>
    <mergeCell ref="R4:W4"/>
  </mergeCells>
  <phoneticPr fontId="1" type="noConversion"/>
  <conditionalFormatting sqref="A5 H5:I5 P5:Q5 X5:XFD5">
    <cfRule type="expression" dxfId="3" priority="1">
      <formula>A5="통신사"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theme="9" tint="-0.249977111117893"/>
  </sheetPr>
  <dimension ref="B1:F243"/>
  <sheetViews>
    <sheetView showGridLines="0" workbookViewId="0">
      <selection activeCell="D4" sqref="D4"/>
    </sheetView>
  </sheetViews>
  <sheetFormatPr defaultRowHeight="16.5" x14ac:dyDescent="0.3"/>
  <cols>
    <col min="1" max="1" width="3.25" customWidth="1"/>
    <col min="2" max="4" width="37.25" customWidth="1"/>
    <col min="5" max="5" width="2.875" customWidth="1"/>
    <col min="6" max="6" width="29.75" customWidth="1"/>
  </cols>
  <sheetData>
    <row r="1" spans="2:6" ht="17.25" thickBot="1" x14ac:dyDescent="0.35"/>
    <row r="2" spans="2:6" ht="27" customHeight="1" x14ac:dyDescent="0.3">
      <c r="B2" s="503" t="s">
        <v>54</v>
      </c>
      <c r="C2" s="504"/>
      <c r="D2" s="505"/>
      <c r="F2" s="506" t="s">
        <v>56</v>
      </c>
    </row>
    <row r="3" spans="2:6" ht="21" customHeight="1" thickBot="1" x14ac:dyDescent="0.35">
      <c r="B3" s="2" t="s">
        <v>51</v>
      </c>
      <c r="C3" s="3" t="s">
        <v>52</v>
      </c>
      <c r="D3" s="4" t="s">
        <v>53</v>
      </c>
      <c r="F3" s="507"/>
    </row>
    <row r="4" spans="2:6" ht="21.75" customHeight="1" x14ac:dyDescent="0.3">
      <c r="B4" s="5" t="s">
        <v>62</v>
      </c>
      <c r="C4" s="6" t="s">
        <v>39</v>
      </c>
      <c r="D4" s="7" t="s">
        <v>362</v>
      </c>
      <c r="F4" s="209" t="str">
        <f>ADMIN!D6</f>
        <v>갤럭시 S26_256G</v>
      </c>
    </row>
    <row r="5" spans="2:6" ht="21.75" customHeight="1" x14ac:dyDescent="0.3">
      <c r="B5" s="8" t="s">
        <v>92</v>
      </c>
      <c r="C5" s="9" t="s">
        <v>41</v>
      </c>
      <c r="D5" s="10" t="s">
        <v>48</v>
      </c>
      <c r="F5" s="210" t="str">
        <f>ADMIN!D7</f>
        <v>갤럭시 S26_512G</v>
      </c>
    </row>
    <row r="6" spans="2:6" ht="21.75" customHeight="1" x14ac:dyDescent="0.3">
      <c r="B6" s="8" t="s">
        <v>26</v>
      </c>
      <c r="C6" s="9" t="s">
        <v>288</v>
      </c>
      <c r="D6" s="10" t="s">
        <v>288</v>
      </c>
      <c r="F6" s="210" t="str">
        <f>ADMIN!D8</f>
        <v>갤럭시 S26 플러스_256G</v>
      </c>
    </row>
    <row r="7" spans="2:6" ht="21.75" customHeight="1" x14ac:dyDescent="0.3">
      <c r="B7" s="8" t="s">
        <v>289</v>
      </c>
      <c r="C7" s="9"/>
      <c r="D7" s="10"/>
      <c r="F7" s="210" t="str">
        <f>ADMIN!D9</f>
        <v>갤럭시 S26 플러스_512G</v>
      </c>
    </row>
    <row r="8" spans="2:6" ht="21.75" customHeight="1" x14ac:dyDescent="0.3">
      <c r="B8" s="8" t="s">
        <v>290</v>
      </c>
      <c r="C8" s="9"/>
      <c r="D8" s="10"/>
      <c r="F8" s="210" t="str">
        <f>ADMIN!D10</f>
        <v>갤럭시 S26 울트라_256G</v>
      </c>
    </row>
    <row r="9" spans="2:6" ht="21.75" customHeight="1" x14ac:dyDescent="0.3">
      <c r="B9" s="8" t="s">
        <v>291</v>
      </c>
      <c r="C9" s="9"/>
      <c r="D9" s="10"/>
      <c r="F9" s="210" t="str">
        <f>ADMIN!D11</f>
        <v>갤럭시 S26 울트라_512G</v>
      </c>
    </row>
    <row r="10" spans="2:6" ht="21.75" customHeight="1" x14ac:dyDescent="0.3">
      <c r="B10" s="8" t="s">
        <v>288</v>
      </c>
      <c r="C10" s="9"/>
      <c r="D10" s="10"/>
      <c r="F10" s="210" t="str">
        <f>ADMIN!D12</f>
        <v>갤럭시Z플립7</v>
      </c>
    </row>
    <row r="11" spans="2:6" ht="21.75" customHeight="1" x14ac:dyDescent="0.3">
      <c r="B11" s="8"/>
      <c r="C11" s="9"/>
      <c r="D11" s="10"/>
      <c r="F11" s="210" t="str">
        <f>ADMIN!D13</f>
        <v>갤럭시Z폴드7</v>
      </c>
    </row>
    <row r="12" spans="2:6" ht="21.75" customHeight="1" x14ac:dyDescent="0.3">
      <c r="B12" s="8"/>
      <c r="C12" s="9"/>
      <c r="D12" s="10"/>
      <c r="F12" s="210" t="str">
        <f>ADMIN!D14</f>
        <v>갤럭시S25엣지</v>
      </c>
    </row>
    <row r="13" spans="2:6" ht="21.75" customHeight="1" x14ac:dyDescent="0.3">
      <c r="B13" s="8"/>
      <c r="C13" s="9"/>
      <c r="D13" s="10"/>
      <c r="F13" s="210" t="str">
        <f>ADMIN!D15</f>
        <v>갤럭시S25엣지(개봉)</v>
      </c>
    </row>
    <row r="14" spans="2:6" ht="21.75" customHeight="1" x14ac:dyDescent="0.3">
      <c r="B14" s="8"/>
      <c r="C14" s="9"/>
      <c r="D14" s="10"/>
      <c r="F14" s="210" t="str">
        <f>ADMIN!D16</f>
        <v>갤럭시S25</v>
      </c>
    </row>
    <row r="15" spans="2:6" ht="21.75" customHeight="1" x14ac:dyDescent="0.3">
      <c r="B15" s="8"/>
      <c r="C15" s="9"/>
      <c r="D15" s="10"/>
      <c r="F15" s="210" t="str">
        <f>ADMIN!D17</f>
        <v>갤럭시S25(개봉)</v>
      </c>
    </row>
    <row r="16" spans="2:6" ht="21.75" customHeight="1" x14ac:dyDescent="0.3">
      <c r="B16" s="8"/>
      <c r="C16" s="9"/>
      <c r="D16" s="10"/>
      <c r="F16" s="210" t="str">
        <f>ADMIN!D18</f>
        <v>갤럭시S25+</v>
      </c>
    </row>
    <row r="17" spans="2:6" ht="21.75" customHeight="1" x14ac:dyDescent="0.3">
      <c r="B17" s="8"/>
      <c r="C17" s="9"/>
      <c r="D17" s="10"/>
      <c r="F17" s="210" t="str">
        <f>ADMIN!D19</f>
        <v>갤럭시S25+(개봉)</v>
      </c>
    </row>
    <row r="18" spans="2:6" ht="21.75" customHeight="1" thickBot="1" x14ac:dyDescent="0.35">
      <c r="B18" s="11"/>
      <c r="C18" s="12"/>
      <c r="D18" s="13"/>
      <c r="F18" s="210" t="str">
        <f>ADMIN!D20</f>
        <v>갤럭시S25울트라</v>
      </c>
    </row>
    <row r="19" spans="2:6" ht="21.75" customHeight="1" x14ac:dyDescent="0.3">
      <c r="F19" s="210" t="str">
        <f>ADMIN!D21</f>
        <v>갤럭시S25울트라(개봉)</v>
      </c>
    </row>
    <row r="20" spans="2:6" ht="21.75" customHeight="1" x14ac:dyDescent="0.3">
      <c r="F20" s="210" t="str">
        <f>ADMIN!D22</f>
        <v>갤럭시 Z 플립6(개봉)</v>
      </c>
    </row>
    <row r="21" spans="2:6" ht="21.75" customHeight="1" x14ac:dyDescent="0.3">
      <c r="F21" s="210" t="str">
        <f>ADMIN!D23</f>
        <v>갤럭시 Z 폴드6</v>
      </c>
    </row>
    <row r="22" spans="2:6" ht="21.75" customHeight="1" x14ac:dyDescent="0.3">
      <c r="F22" s="210" t="str">
        <f>ADMIN!D24</f>
        <v>갤럭시 Z 폴드6_512G</v>
      </c>
    </row>
    <row r="23" spans="2:6" ht="21.75" customHeight="1" x14ac:dyDescent="0.3">
      <c r="F23" s="210" t="str">
        <f>ADMIN!D25</f>
        <v>갤럭시 Z 폴드6(개봉)</v>
      </c>
    </row>
    <row r="24" spans="2:6" ht="21.75" customHeight="1" x14ac:dyDescent="0.3">
      <c r="F24" s="210" t="str">
        <f>ADMIN!D26</f>
        <v>갤럭시S25FE</v>
      </c>
    </row>
    <row r="25" spans="2:6" ht="21.75" customHeight="1" x14ac:dyDescent="0.3">
      <c r="F25" s="210" t="str">
        <f>ADMIN!D27</f>
        <v>아이폰17_256G</v>
      </c>
    </row>
    <row r="26" spans="2:6" ht="21.75" customHeight="1" x14ac:dyDescent="0.3">
      <c r="F26" s="210" t="str">
        <f>ADMIN!D28</f>
        <v>아이폰17_512G</v>
      </c>
    </row>
    <row r="27" spans="2:6" ht="21.75" customHeight="1" x14ac:dyDescent="0.3">
      <c r="F27" s="210" t="str">
        <f>ADMIN!D29</f>
        <v>아이폰에어_256G</v>
      </c>
    </row>
    <row r="28" spans="2:6" ht="21.75" customHeight="1" x14ac:dyDescent="0.3">
      <c r="F28" s="210" t="str">
        <f>ADMIN!D30</f>
        <v>아이폰에어_512G</v>
      </c>
    </row>
    <row r="29" spans="2:6" ht="21.75" customHeight="1" x14ac:dyDescent="0.3">
      <c r="F29" s="210" t="str">
        <f>ADMIN!D31</f>
        <v>아이폰17프로_256G</v>
      </c>
    </row>
    <row r="30" spans="2:6" ht="21.75" customHeight="1" x14ac:dyDescent="0.3">
      <c r="F30" s="210" t="str">
        <f>ADMIN!D32</f>
        <v>아이폰17프로_512G</v>
      </c>
    </row>
    <row r="31" spans="2:6" ht="21.75" customHeight="1" x14ac:dyDescent="0.3">
      <c r="F31" s="210" t="str">
        <f>ADMIN!D33</f>
        <v>아이폰17프로맥스_256G</v>
      </c>
    </row>
    <row r="32" spans="2:6" ht="21.75" customHeight="1" x14ac:dyDescent="0.3">
      <c r="F32" s="210" t="str">
        <f>ADMIN!D34</f>
        <v>아이폰17프로맥스_512G</v>
      </c>
    </row>
    <row r="33" spans="6:6" ht="21.75" customHeight="1" x14ac:dyDescent="0.3">
      <c r="F33" s="210" t="str">
        <f>ADMIN!D35</f>
        <v>갤럭시 A17</v>
      </c>
    </row>
    <row r="34" spans="6:6" ht="21.75" customHeight="1" x14ac:dyDescent="0.3">
      <c r="F34" s="210" t="str">
        <f>ADMIN!D36</f>
        <v>갤럭시 A17</v>
      </c>
    </row>
    <row r="35" spans="6:6" ht="21.75" customHeight="1" x14ac:dyDescent="0.3">
      <c r="F35" s="210" t="str">
        <f>ADMIN!D37</f>
        <v>폼폼푸린 키즈폰</v>
      </c>
    </row>
    <row r="36" spans="6:6" ht="21.75" customHeight="1" x14ac:dyDescent="0.3">
      <c r="F36" s="210" t="str">
        <f>ADMIN!D38</f>
        <v>갤럭시점프4</v>
      </c>
    </row>
    <row r="37" spans="6:6" ht="21.75" customHeight="1" x14ac:dyDescent="0.3">
      <c r="F37" s="210" t="str">
        <f>ADMIN!D39</f>
        <v>갤럭시점프4</v>
      </c>
    </row>
    <row r="38" spans="6:6" ht="21.75" customHeight="1" x14ac:dyDescent="0.3">
      <c r="F38" s="210" t="str">
        <f>ADMIN!D40</f>
        <v>갤럭시Z폴드7(개봉)</v>
      </c>
    </row>
    <row r="39" spans="6:6" ht="21.75" customHeight="1" x14ac:dyDescent="0.3">
      <c r="F39" s="210" t="str">
        <f>ADMIN!D41</f>
        <v>갤럭시Z플립7(개봉)</v>
      </c>
    </row>
    <row r="40" spans="6:6" ht="21.75" customHeight="1" x14ac:dyDescent="0.3">
      <c r="F40" s="210" t="str">
        <f>ADMIN!D42</f>
        <v>갤럭시 S26_256G</v>
      </c>
    </row>
    <row r="41" spans="6:6" ht="21.75" customHeight="1" x14ac:dyDescent="0.3">
      <c r="F41" s="210" t="str">
        <f>ADMIN!D43</f>
        <v>갤럭시 S26_512G</v>
      </c>
    </row>
    <row r="42" spans="6:6" ht="21.75" customHeight="1" x14ac:dyDescent="0.3">
      <c r="F42" s="210" t="str">
        <f>ADMIN!D44</f>
        <v>갤럭시 S26 플러스_256G</v>
      </c>
    </row>
    <row r="43" spans="6:6" ht="21.75" customHeight="1" x14ac:dyDescent="0.3">
      <c r="F43" s="210" t="str">
        <f>ADMIN!D45</f>
        <v>갤럭시 S26 플러스_512G</v>
      </c>
    </row>
    <row r="44" spans="6:6" ht="21.75" customHeight="1" x14ac:dyDescent="0.3">
      <c r="F44" s="210" t="str">
        <f>ADMIN!D46</f>
        <v>갤럭시 S26 울트라_256G</v>
      </c>
    </row>
    <row r="45" spans="6:6" ht="21.75" customHeight="1" x14ac:dyDescent="0.3">
      <c r="F45" s="210" t="str">
        <f>ADMIN!D47</f>
        <v>갤럭시 S26 울트라_512G</v>
      </c>
    </row>
    <row r="46" spans="6:6" ht="21.75" customHeight="1" x14ac:dyDescent="0.3">
      <c r="F46" s="210" t="str">
        <f>ADMIN!D48</f>
        <v>갤럭시Z플립7</v>
      </c>
    </row>
    <row r="47" spans="6:6" ht="21.75" customHeight="1" x14ac:dyDescent="0.3">
      <c r="F47" s="210" t="str">
        <f>ADMIN!D49</f>
        <v>갤럭시Z폴드7</v>
      </c>
    </row>
    <row r="48" spans="6:6" ht="21.75" customHeight="1" x14ac:dyDescent="0.3">
      <c r="F48" s="210" t="str">
        <f>ADMIN!D50</f>
        <v>갤럭시S25엣지</v>
      </c>
    </row>
    <row r="49" spans="6:6" ht="21.75" customHeight="1" x14ac:dyDescent="0.3">
      <c r="F49" s="210" t="str">
        <f>ADMIN!D51</f>
        <v>갤럭시S25엣지(개봉)</v>
      </c>
    </row>
    <row r="50" spans="6:6" ht="21.75" customHeight="1" x14ac:dyDescent="0.3">
      <c r="F50" s="210" t="str">
        <f>ADMIN!D52</f>
        <v>갤럭시S25</v>
      </c>
    </row>
    <row r="51" spans="6:6" ht="21.75" customHeight="1" x14ac:dyDescent="0.3">
      <c r="F51" s="210" t="str">
        <f>ADMIN!D53</f>
        <v>갤럭시S25(개봉)</v>
      </c>
    </row>
    <row r="52" spans="6:6" ht="21.75" customHeight="1" x14ac:dyDescent="0.3">
      <c r="F52" s="210" t="str">
        <f>ADMIN!D54</f>
        <v>갤럭시S25+</v>
      </c>
    </row>
    <row r="53" spans="6:6" ht="21.75" customHeight="1" x14ac:dyDescent="0.3">
      <c r="F53" s="210" t="str">
        <f>ADMIN!D55</f>
        <v>갤럭시S25+(개봉)</v>
      </c>
    </row>
    <row r="54" spans="6:6" ht="21.75" customHeight="1" x14ac:dyDescent="0.3">
      <c r="F54" s="210" t="str">
        <f>ADMIN!D56</f>
        <v>갤럭시S25울트라</v>
      </c>
    </row>
    <row r="55" spans="6:6" ht="21.75" customHeight="1" x14ac:dyDescent="0.3">
      <c r="F55" s="210" t="str">
        <f>ADMIN!D57</f>
        <v>갤럭시S25울트라(개봉)</v>
      </c>
    </row>
    <row r="56" spans="6:6" ht="21.75" customHeight="1" x14ac:dyDescent="0.3">
      <c r="F56" s="210" t="str">
        <f>ADMIN!D58</f>
        <v>갤럭시 Z 플립6</v>
      </c>
    </row>
    <row r="57" spans="6:6" ht="21.75" customHeight="1" x14ac:dyDescent="0.3">
      <c r="F57" s="210" t="str">
        <f>ADMIN!D59</f>
        <v>갤럭시A16</v>
      </c>
    </row>
    <row r="58" spans="6:6" ht="21.75" customHeight="1" x14ac:dyDescent="0.3">
      <c r="F58" s="210" t="str">
        <f>ADMIN!D60</f>
        <v>갤럭시A16</v>
      </c>
    </row>
    <row r="59" spans="6:6" x14ac:dyDescent="0.3">
      <c r="F59" s="210" t="str">
        <f>ADMIN!D61</f>
        <v>아이폰17_256G</v>
      </c>
    </row>
    <row r="60" spans="6:6" x14ac:dyDescent="0.3">
      <c r="F60" s="210" t="str">
        <f>ADMIN!D62</f>
        <v>아이폰17_512G</v>
      </c>
    </row>
    <row r="61" spans="6:6" x14ac:dyDescent="0.3">
      <c r="F61" s="210" t="str">
        <f>ADMIN!D63</f>
        <v>아이폰에어_256G</v>
      </c>
    </row>
    <row r="62" spans="6:6" x14ac:dyDescent="0.3">
      <c r="F62" s="210" t="str">
        <f>ADMIN!D64</f>
        <v>아이폰에어_512G</v>
      </c>
    </row>
    <row r="63" spans="6:6" x14ac:dyDescent="0.3">
      <c r="F63" s="210" t="str">
        <f>ADMIN!D65</f>
        <v>아이폰17프로_256G</v>
      </c>
    </row>
    <row r="64" spans="6:6" x14ac:dyDescent="0.3">
      <c r="F64" s="210" t="str">
        <f>ADMIN!D66</f>
        <v>아이폰17프로_512G</v>
      </c>
    </row>
    <row r="65" spans="6:6" x14ac:dyDescent="0.3">
      <c r="F65" s="210" t="str">
        <f>ADMIN!D67</f>
        <v>아이폰17프로맥스_256G</v>
      </c>
    </row>
    <row r="66" spans="6:6" x14ac:dyDescent="0.3">
      <c r="F66" s="210" t="str">
        <f>ADMIN!D68</f>
        <v>아이폰17프로맥스_512G</v>
      </c>
    </row>
    <row r="67" spans="6:6" x14ac:dyDescent="0.3">
      <c r="F67" s="210" t="str">
        <f>ADMIN!D69</f>
        <v>아이폰16_256G</v>
      </c>
    </row>
    <row r="68" spans="6:6" x14ac:dyDescent="0.3">
      <c r="F68" s="210" t="str">
        <f>ADMIN!D70</f>
        <v>아이폰16_512G</v>
      </c>
    </row>
    <row r="69" spans="6:6" x14ac:dyDescent="0.3">
      <c r="F69" s="210" t="str">
        <f>ADMIN!D71</f>
        <v>아이폰16프로_512G</v>
      </c>
    </row>
    <row r="70" spans="6:6" x14ac:dyDescent="0.3">
      <c r="F70" s="210" t="str">
        <f>ADMIN!D72</f>
        <v>아이폰16프로맥스_512G</v>
      </c>
    </row>
    <row r="71" spans="6:6" x14ac:dyDescent="0.3">
      <c r="F71" s="210" t="str">
        <f>ADMIN!D73</f>
        <v>아이폰16프로맥스_512G</v>
      </c>
    </row>
    <row r="72" spans="6:6" x14ac:dyDescent="0.3">
      <c r="F72" s="210" t="str">
        <f>ADMIN!D74</f>
        <v>아이폰15_512G</v>
      </c>
    </row>
    <row r="73" spans="6:6" x14ac:dyDescent="0.3">
      <c r="F73" s="210" t="str">
        <f>ADMIN!D75</f>
        <v>아이폰15플러스_512G</v>
      </c>
    </row>
    <row r="74" spans="6:6" x14ac:dyDescent="0.3">
      <c r="F74" s="210" t="str">
        <f>ADMIN!D76</f>
        <v>아이폰15프로맥스_256G</v>
      </c>
    </row>
    <row r="75" spans="6:6" x14ac:dyDescent="0.3">
      <c r="F75" s="210" t="str">
        <f>ADMIN!D77</f>
        <v>아이폰15프로맥스_256G</v>
      </c>
    </row>
    <row r="76" spans="6:6" x14ac:dyDescent="0.3">
      <c r="F76" s="210" t="str">
        <f>ADMIN!D78</f>
        <v>갤럭시 Z 폴드6(개봉)</v>
      </c>
    </row>
    <row r="77" spans="6:6" x14ac:dyDescent="0.3">
      <c r="F77" s="210" t="str">
        <f>ADMIN!D79</f>
        <v>아이폰15플러스_512G</v>
      </c>
    </row>
    <row r="78" spans="6:6" x14ac:dyDescent="0.3">
      <c r="F78" s="210" t="str">
        <f>ADMIN!D80</f>
        <v>갤럭시 A17</v>
      </c>
    </row>
    <row r="79" spans="6:6" x14ac:dyDescent="0.3">
      <c r="F79" s="210" t="str">
        <f>ADMIN!D81</f>
        <v>폼폼푸린 키즈폰</v>
      </c>
    </row>
    <row r="80" spans="6:6" x14ac:dyDescent="0.3">
      <c r="F80" s="210" t="str">
        <f>ADMIN!D82</f>
        <v>갤럭시점프4</v>
      </c>
    </row>
    <row r="81" spans="6:6" x14ac:dyDescent="0.3">
      <c r="F81" s="210" t="str">
        <f>ADMIN!D83</f>
        <v>갤럭시Z폴드7(개봉)</v>
      </c>
    </row>
    <row r="82" spans="6:6" x14ac:dyDescent="0.3">
      <c r="F82" s="210" t="str">
        <f>ADMIN!D84</f>
        <v>갤럭시Z플립7(개봉)</v>
      </c>
    </row>
    <row r="83" spans="6:6" x14ac:dyDescent="0.3">
      <c r="F83" s="210">
        <f>ADMIN!D85</f>
        <v>0</v>
      </c>
    </row>
    <row r="84" spans="6:6" x14ac:dyDescent="0.3">
      <c r="F84" s="210" t="str">
        <f>ADMIN!L6</f>
        <v>갤럭시 S26_256G</v>
      </c>
    </row>
    <row r="85" spans="6:6" x14ac:dyDescent="0.3">
      <c r="F85" s="210" t="str">
        <f>ADMIN!L7</f>
        <v>갤럭시 S26_512G</v>
      </c>
    </row>
    <row r="86" spans="6:6" x14ac:dyDescent="0.3">
      <c r="F86" s="210" t="str">
        <f>ADMIN!L8</f>
        <v>갤럭시 S26 플러스_256G</v>
      </c>
    </row>
    <row r="87" spans="6:6" x14ac:dyDescent="0.3">
      <c r="F87" s="210" t="str">
        <f>ADMIN!L9</f>
        <v>갤럭시 S26 플러스_512G</v>
      </c>
    </row>
    <row r="88" spans="6:6" x14ac:dyDescent="0.3">
      <c r="F88" s="210" t="str">
        <f>ADMIN!L10</f>
        <v>갤럭시 S26 울트라_256G</v>
      </c>
    </row>
    <row r="89" spans="6:6" x14ac:dyDescent="0.3">
      <c r="F89" s="210" t="str">
        <f>ADMIN!L11</f>
        <v>갤럭시 S26 울트라_512G</v>
      </c>
    </row>
    <row r="90" spans="6:6" x14ac:dyDescent="0.3">
      <c r="F90" s="210" t="str">
        <f>ADMIN!L12</f>
        <v>갤럭시Z플립7</v>
      </c>
    </row>
    <row r="91" spans="6:6" x14ac:dyDescent="0.3">
      <c r="F91" s="210" t="str">
        <f>ADMIN!L13</f>
        <v>갤럭시Z폴드7</v>
      </c>
    </row>
    <row r="92" spans="6:6" x14ac:dyDescent="0.3">
      <c r="F92" s="210" t="str">
        <f>ADMIN!L14</f>
        <v>갤럭시S25엣지</v>
      </c>
    </row>
    <row r="93" spans="6:6" x14ac:dyDescent="0.3">
      <c r="F93" s="210" t="str">
        <f>ADMIN!L15</f>
        <v>갤럭시S25</v>
      </c>
    </row>
    <row r="94" spans="6:6" x14ac:dyDescent="0.3">
      <c r="F94" s="210" t="str">
        <f>ADMIN!L16</f>
        <v>갤럭시S25+</v>
      </c>
    </row>
    <row r="95" spans="6:6" x14ac:dyDescent="0.3">
      <c r="F95" s="210" t="str">
        <f>ADMIN!L17</f>
        <v>갤럭시S25울트라</v>
      </c>
    </row>
    <row r="96" spans="6:6" x14ac:dyDescent="0.3">
      <c r="F96" s="210" t="str">
        <f>ADMIN!L18</f>
        <v>갤럭시S25FE</v>
      </c>
    </row>
    <row r="97" spans="6:6" x14ac:dyDescent="0.3">
      <c r="F97" s="210" t="str">
        <f>ADMIN!L19</f>
        <v>갤럭시퀀텀6</v>
      </c>
    </row>
    <row r="98" spans="6:6" x14ac:dyDescent="0.3">
      <c r="F98" s="210" t="str">
        <f>ADMIN!L20</f>
        <v>갤럭시A17_ZEM포켓피스</v>
      </c>
    </row>
    <row r="99" spans="6:6" x14ac:dyDescent="0.3">
      <c r="F99" s="210" t="str">
        <f>ADMIN!L21</f>
        <v>아이폰17_256G</v>
      </c>
    </row>
    <row r="100" spans="6:6" x14ac:dyDescent="0.3">
      <c r="F100" s="210" t="str">
        <f>ADMIN!L22</f>
        <v>아이폰17_512G</v>
      </c>
    </row>
    <row r="101" spans="6:6" x14ac:dyDescent="0.3">
      <c r="F101" s="210" t="str">
        <f>ADMIN!L23</f>
        <v>아이폰에어_256G</v>
      </c>
    </row>
    <row r="102" spans="6:6" x14ac:dyDescent="0.3">
      <c r="F102" s="210" t="str">
        <f>ADMIN!L24</f>
        <v>아이폰에어_512G</v>
      </c>
    </row>
    <row r="103" spans="6:6" x14ac:dyDescent="0.3">
      <c r="F103" s="210" t="str">
        <f>ADMIN!L25</f>
        <v>아이폰17프로_256G</v>
      </c>
    </row>
    <row r="104" spans="6:6" x14ac:dyDescent="0.3">
      <c r="F104" s="210" t="str">
        <f>ADMIN!L26</f>
        <v>아이폰17프로_512G</v>
      </c>
    </row>
    <row r="105" spans="6:6" x14ac:dyDescent="0.3">
      <c r="F105" s="210" t="str">
        <f>ADMIN!L27</f>
        <v>아이폰17프로맥스_256G</v>
      </c>
    </row>
    <row r="106" spans="6:6" x14ac:dyDescent="0.3">
      <c r="F106" s="210" t="str">
        <f>ADMIN!L28</f>
        <v>아이폰17프로맥스_512G</v>
      </c>
    </row>
    <row r="107" spans="6:6" x14ac:dyDescent="0.3">
      <c r="F107" s="210" t="str">
        <f>ADMIN!L29</f>
        <v>아이폰16E_128G</v>
      </c>
    </row>
    <row r="108" spans="6:6" x14ac:dyDescent="0.3">
      <c r="F108" s="210" t="str">
        <f>ADMIN!L30</f>
        <v>아이폰16E_256G</v>
      </c>
    </row>
    <row r="109" spans="6:6" x14ac:dyDescent="0.3">
      <c r="F109" s="210" t="str">
        <f>ADMIN!L31</f>
        <v>아이폰16E_512G</v>
      </c>
    </row>
    <row r="110" spans="6:6" x14ac:dyDescent="0.3">
      <c r="F110" s="210" t="str">
        <f>ADMIN!L32</f>
        <v>갤럭시A17</v>
      </c>
    </row>
    <row r="111" spans="6:6" x14ac:dyDescent="0.3">
      <c r="F111" s="210" t="str">
        <f>ADMIN!L33</f>
        <v>갤럭시 S26_256G</v>
      </c>
    </row>
    <row r="112" spans="6:6" x14ac:dyDescent="0.3">
      <c r="F112" s="210" t="str">
        <f>ADMIN!L34</f>
        <v>갤럭시 S26_512G</v>
      </c>
    </row>
    <row r="113" spans="6:6" x14ac:dyDescent="0.3">
      <c r="F113" s="210" t="str">
        <f>ADMIN!L35</f>
        <v>갤럭시 S26 플러스_256G</v>
      </c>
    </row>
    <row r="114" spans="6:6" x14ac:dyDescent="0.3">
      <c r="F114" s="210" t="str">
        <f>ADMIN!L36</f>
        <v>갤럭시 S26 플러스_512G</v>
      </c>
    </row>
    <row r="115" spans="6:6" x14ac:dyDescent="0.3">
      <c r="F115" s="210" t="str">
        <f>ADMIN!L37</f>
        <v>갤럭시 S26 울트라_256G</v>
      </c>
    </row>
    <row r="116" spans="6:6" x14ac:dyDescent="0.3">
      <c r="F116" s="210" t="str">
        <f>ADMIN!L38</f>
        <v>갤럭시 S26 울트라_512G</v>
      </c>
    </row>
    <row r="117" spans="6:6" x14ac:dyDescent="0.3">
      <c r="F117" s="210" t="str">
        <f>ADMIN!L39</f>
        <v>갤럭시A17_ZEM포켓피스</v>
      </c>
    </row>
    <row r="118" spans="6:6" x14ac:dyDescent="0.3">
      <c r="F118" s="210" t="str">
        <f>ADMIN!L40</f>
        <v>갤럭시A17</v>
      </c>
    </row>
    <row r="119" spans="6:6" x14ac:dyDescent="0.3">
      <c r="F119" s="210">
        <f>ADMIN!L41</f>
        <v>0</v>
      </c>
    </row>
    <row r="120" spans="6:6" x14ac:dyDescent="0.3">
      <c r="F120" s="210">
        <f>ADMIN!L42</f>
        <v>0</v>
      </c>
    </row>
    <row r="121" spans="6:6" x14ac:dyDescent="0.3">
      <c r="F121" s="210">
        <f>ADMIN!L43</f>
        <v>0</v>
      </c>
    </row>
    <row r="122" spans="6:6" x14ac:dyDescent="0.3">
      <c r="F122" s="210">
        <f>ADMIN!L44</f>
        <v>0</v>
      </c>
    </row>
    <row r="123" spans="6:6" x14ac:dyDescent="0.3">
      <c r="F123" s="210">
        <f>ADMIN!L45</f>
        <v>0</v>
      </c>
    </row>
    <row r="124" spans="6:6" x14ac:dyDescent="0.3">
      <c r="F124" s="210">
        <f>ADMIN!L46</f>
        <v>0</v>
      </c>
    </row>
    <row r="125" spans="6:6" x14ac:dyDescent="0.3">
      <c r="F125" s="210">
        <f>ADMIN!L47</f>
        <v>0</v>
      </c>
    </row>
    <row r="126" spans="6:6" x14ac:dyDescent="0.3">
      <c r="F126" s="210">
        <f>ADMIN!L48</f>
        <v>0</v>
      </c>
    </row>
    <row r="127" spans="6:6" x14ac:dyDescent="0.3">
      <c r="F127" s="210">
        <f>ADMIN!L49</f>
        <v>0</v>
      </c>
    </row>
    <row r="128" spans="6:6" x14ac:dyDescent="0.3">
      <c r="F128" s="210">
        <f>ADMIN!L50</f>
        <v>0</v>
      </c>
    </row>
    <row r="129" spans="6:6" x14ac:dyDescent="0.3">
      <c r="F129" s="210">
        <f>ADMIN!L51</f>
        <v>0</v>
      </c>
    </row>
    <row r="130" spans="6:6" x14ac:dyDescent="0.3">
      <c r="F130" s="210">
        <f>ADMIN!L52</f>
        <v>0</v>
      </c>
    </row>
    <row r="131" spans="6:6" x14ac:dyDescent="0.3">
      <c r="F131" s="210">
        <f>ADMIN!L53</f>
        <v>0</v>
      </c>
    </row>
    <row r="132" spans="6:6" x14ac:dyDescent="0.3">
      <c r="F132" s="210">
        <f>ADMIN!L54</f>
        <v>0</v>
      </c>
    </row>
    <row r="133" spans="6:6" x14ac:dyDescent="0.3">
      <c r="F133" s="210">
        <f>ADMIN!L55</f>
        <v>0</v>
      </c>
    </row>
    <row r="134" spans="6:6" x14ac:dyDescent="0.3">
      <c r="F134" s="210">
        <f>ADMIN!L56</f>
        <v>0</v>
      </c>
    </row>
    <row r="135" spans="6:6" x14ac:dyDescent="0.3">
      <c r="F135" s="210">
        <f>ADMIN!L57</f>
        <v>0</v>
      </c>
    </row>
    <row r="136" spans="6:6" x14ac:dyDescent="0.3">
      <c r="F136" s="210">
        <f>ADMIN!L58</f>
        <v>0</v>
      </c>
    </row>
    <row r="137" spans="6:6" x14ac:dyDescent="0.3">
      <c r="F137" s="210">
        <f>ADMIN!L59</f>
        <v>0</v>
      </c>
    </row>
    <row r="138" spans="6:6" x14ac:dyDescent="0.3">
      <c r="F138" s="210">
        <f>ADMIN!L60</f>
        <v>0</v>
      </c>
    </row>
    <row r="139" spans="6:6" x14ac:dyDescent="0.3">
      <c r="F139" s="210">
        <f>ADMIN!L61</f>
        <v>0</v>
      </c>
    </row>
    <row r="140" spans="6:6" x14ac:dyDescent="0.3">
      <c r="F140" s="210">
        <f>ADMIN!L62</f>
        <v>0</v>
      </c>
    </row>
    <row r="141" spans="6:6" x14ac:dyDescent="0.3">
      <c r="F141" s="210">
        <f>ADMIN!L63</f>
        <v>0</v>
      </c>
    </row>
    <row r="142" spans="6:6" x14ac:dyDescent="0.3">
      <c r="F142" s="210">
        <f>ADMIN!L64</f>
        <v>0</v>
      </c>
    </row>
    <row r="143" spans="6:6" x14ac:dyDescent="0.3">
      <c r="F143" s="210">
        <f>ADMIN!L65</f>
        <v>0</v>
      </c>
    </row>
    <row r="144" spans="6:6" x14ac:dyDescent="0.3">
      <c r="F144" s="210">
        <f>ADMIN!L66</f>
        <v>0</v>
      </c>
    </row>
    <row r="145" spans="6:6" x14ac:dyDescent="0.3">
      <c r="F145" s="210">
        <f>ADMIN!L67</f>
        <v>0</v>
      </c>
    </row>
    <row r="146" spans="6:6" x14ac:dyDescent="0.3">
      <c r="F146" s="210">
        <f>ADMIN!L68</f>
        <v>0</v>
      </c>
    </row>
    <row r="147" spans="6:6" x14ac:dyDescent="0.3">
      <c r="F147" s="210">
        <f>ADMIN!L69</f>
        <v>0</v>
      </c>
    </row>
    <row r="148" spans="6:6" x14ac:dyDescent="0.3">
      <c r="F148" s="210">
        <f>ADMIN!L70</f>
        <v>0</v>
      </c>
    </row>
    <row r="149" spans="6:6" x14ac:dyDescent="0.3">
      <c r="F149" s="210">
        <f>ADMIN!L71</f>
        <v>0</v>
      </c>
    </row>
    <row r="150" spans="6:6" x14ac:dyDescent="0.3">
      <c r="F150" s="210">
        <f>ADMIN!L72</f>
        <v>0</v>
      </c>
    </row>
    <row r="151" spans="6:6" x14ac:dyDescent="0.3">
      <c r="F151" s="210">
        <f>ADMIN!L73</f>
        <v>0</v>
      </c>
    </row>
    <row r="152" spans="6:6" x14ac:dyDescent="0.3">
      <c r="F152" s="210">
        <f>ADMIN!L74</f>
        <v>0</v>
      </c>
    </row>
    <row r="153" spans="6:6" x14ac:dyDescent="0.3">
      <c r="F153" s="210">
        <f>ADMIN!L75</f>
        <v>0</v>
      </c>
    </row>
    <row r="154" spans="6:6" x14ac:dyDescent="0.3">
      <c r="F154" s="210">
        <f>ADMIN!L76</f>
        <v>0</v>
      </c>
    </row>
    <row r="155" spans="6:6" x14ac:dyDescent="0.3">
      <c r="F155" s="210">
        <f>ADMIN!L77</f>
        <v>0</v>
      </c>
    </row>
    <row r="156" spans="6:6" x14ac:dyDescent="0.3">
      <c r="F156" s="210">
        <f>ADMIN!L78</f>
        <v>0</v>
      </c>
    </row>
    <row r="157" spans="6:6" x14ac:dyDescent="0.3">
      <c r="F157" s="210">
        <f>ADMIN!L79</f>
        <v>0</v>
      </c>
    </row>
    <row r="158" spans="6:6" x14ac:dyDescent="0.3">
      <c r="F158" s="210">
        <f>ADMIN!L80</f>
        <v>0</v>
      </c>
    </row>
    <row r="159" spans="6:6" x14ac:dyDescent="0.3">
      <c r="F159" s="210">
        <f>ADMIN!L81</f>
        <v>0</v>
      </c>
    </row>
    <row r="160" spans="6:6" x14ac:dyDescent="0.3">
      <c r="F160" s="210">
        <f>ADMIN!L82</f>
        <v>0</v>
      </c>
    </row>
    <row r="161" spans="6:6" x14ac:dyDescent="0.3">
      <c r="F161" s="210">
        <f>ADMIN!L83</f>
        <v>0</v>
      </c>
    </row>
    <row r="162" spans="6:6" x14ac:dyDescent="0.3">
      <c r="F162" s="210">
        <f>ADMIN!L84</f>
        <v>0</v>
      </c>
    </row>
    <row r="163" spans="6:6" x14ac:dyDescent="0.3">
      <c r="F163" s="210">
        <f>ADMIN!L85</f>
        <v>0</v>
      </c>
    </row>
    <row r="164" spans="6:6" x14ac:dyDescent="0.3">
      <c r="F164" s="210" t="str">
        <f>ADMIN!T6</f>
        <v>갤럭시 S26_256G</v>
      </c>
    </row>
    <row r="165" spans="6:6" x14ac:dyDescent="0.3">
      <c r="F165" s="210" t="str">
        <f>ADMIN!T7</f>
        <v>갤럭시 S26_512G</v>
      </c>
    </row>
    <row r="166" spans="6:6" x14ac:dyDescent="0.3">
      <c r="F166" s="210" t="str">
        <f>ADMIN!T8</f>
        <v>갤럭시 S26 플러스_256G</v>
      </c>
    </row>
    <row r="167" spans="6:6" x14ac:dyDescent="0.3">
      <c r="F167" s="210" t="str">
        <f>ADMIN!T9</f>
        <v>갤럭시 S26 플러스_512G</v>
      </c>
    </row>
    <row r="168" spans="6:6" x14ac:dyDescent="0.3">
      <c r="F168" s="210" t="str">
        <f>ADMIN!T10</f>
        <v>갤럭시 S26 울트라_256G</v>
      </c>
    </row>
    <row r="169" spans="6:6" x14ac:dyDescent="0.3">
      <c r="F169" s="210" t="str">
        <f>ADMIN!T11</f>
        <v>갤럭시 S26 울트라_512G</v>
      </c>
    </row>
    <row r="170" spans="6:6" x14ac:dyDescent="0.3">
      <c r="F170" s="210" t="str">
        <f>ADMIN!T12</f>
        <v>갤럭시Z플립7</v>
      </c>
    </row>
    <row r="171" spans="6:6" x14ac:dyDescent="0.3">
      <c r="F171" s="210" t="str">
        <f>ADMIN!T13</f>
        <v>갤럭시Z폴드7</v>
      </c>
    </row>
    <row r="172" spans="6:6" x14ac:dyDescent="0.3">
      <c r="F172" s="210" t="str">
        <f>ADMIN!T14</f>
        <v>갤럭시S25엣지</v>
      </c>
    </row>
    <row r="173" spans="6:6" x14ac:dyDescent="0.3">
      <c r="F173" s="210" t="str">
        <f>ADMIN!T15</f>
        <v>갤럭시S25</v>
      </c>
    </row>
    <row r="174" spans="6:6" x14ac:dyDescent="0.3">
      <c r="F174" s="210" t="str">
        <f>ADMIN!T16</f>
        <v>갤럭시S25+</v>
      </c>
    </row>
    <row r="175" spans="6:6" x14ac:dyDescent="0.3">
      <c r="F175" s="210" t="str">
        <f>ADMIN!T17</f>
        <v>갤럭시S25울트라</v>
      </c>
    </row>
    <row r="176" spans="6:6" x14ac:dyDescent="0.3">
      <c r="F176" s="210" t="str">
        <f>ADMIN!T18</f>
        <v>갤럭시S25FE</v>
      </c>
    </row>
    <row r="177" spans="6:6" x14ac:dyDescent="0.3">
      <c r="F177" s="210" t="str">
        <f>ADMIN!T19</f>
        <v>갤럭시S24FE</v>
      </c>
    </row>
    <row r="178" spans="6:6" x14ac:dyDescent="0.3">
      <c r="F178" s="210" t="str">
        <f>ADMIN!T20</f>
        <v>아이폰17_256G</v>
      </c>
    </row>
    <row r="179" spans="6:6" x14ac:dyDescent="0.3">
      <c r="F179" s="210" t="str">
        <f>ADMIN!T21</f>
        <v>아이폰17_512G</v>
      </c>
    </row>
    <row r="180" spans="6:6" x14ac:dyDescent="0.3">
      <c r="F180" s="210" t="str">
        <f>ADMIN!T22</f>
        <v>아이폰에어_256G</v>
      </c>
    </row>
    <row r="181" spans="6:6" x14ac:dyDescent="0.3">
      <c r="F181" s="210" t="str">
        <f>ADMIN!T23</f>
        <v>아이폰에어_512G</v>
      </c>
    </row>
    <row r="182" spans="6:6" x14ac:dyDescent="0.3">
      <c r="F182" s="210" t="str">
        <f>ADMIN!T24</f>
        <v>아이폰17프로_256G</v>
      </c>
    </row>
    <row r="183" spans="6:6" x14ac:dyDescent="0.3">
      <c r="F183" s="210" t="str">
        <f>ADMIN!T25</f>
        <v>아이폰17프로_512G</v>
      </c>
    </row>
    <row r="184" spans="6:6" x14ac:dyDescent="0.3">
      <c r="F184" s="210" t="str">
        <f>ADMIN!T26</f>
        <v>아이폰17프로맥스_256G</v>
      </c>
    </row>
    <row r="185" spans="6:6" x14ac:dyDescent="0.3">
      <c r="F185" s="210" t="str">
        <f>ADMIN!T27</f>
        <v>아이폰17프로맥스_512G</v>
      </c>
    </row>
    <row r="186" spans="6:6" x14ac:dyDescent="0.3">
      <c r="F186" s="210" t="str">
        <f>ADMIN!T28</f>
        <v>아이폰16_128G</v>
      </c>
    </row>
    <row r="187" spans="6:6" x14ac:dyDescent="0.3">
      <c r="F187" s="210" t="str">
        <f>ADMIN!T29</f>
        <v>아이폰16_256G</v>
      </c>
    </row>
    <row r="188" spans="6:6" x14ac:dyDescent="0.3">
      <c r="F188" s="210" t="str">
        <f>ADMIN!T30</f>
        <v>아이폰16플러스_128G</v>
      </c>
    </row>
    <row r="189" spans="6:6" x14ac:dyDescent="0.3">
      <c r="F189" s="210" t="str">
        <f>ADMIN!T31</f>
        <v>갤럭시 Z 폴드6(개봉)</v>
      </c>
    </row>
    <row r="190" spans="6:6" x14ac:dyDescent="0.3">
      <c r="F190" s="210" t="str">
        <f>ADMIN!T32</f>
        <v>아이폰16플러스_256G</v>
      </c>
    </row>
    <row r="191" spans="6:6" x14ac:dyDescent="0.3">
      <c r="F191" s="210" t="str">
        <f>ADMIN!T33</f>
        <v>아이폰16프로_128G</v>
      </c>
    </row>
    <row r="192" spans="6:6" x14ac:dyDescent="0.3">
      <c r="F192" s="210" t="str">
        <f>ADMIN!T34</f>
        <v>아이폰16프로_256G</v>
      </c>
    </row>
    <row r="193" spans="6:6" x14ac:dyDescent="0.3">
      <c r="F193" s="210" t="str">
        <f>ADMIN!T35</f>
        <v>아이폰16E_128G</v>
      </c>
    </row>
    <row r="194" spans="6:6" x14ac:dyDescent="0.3">
      <c r="F194" s="210" t="str">
        <f>ADMIN!T36</f>
        <v>키즈폰 무너2</v>
      </c>
    </row>
    <row r="195" spans="6:6" x14ac:dyDescent="0.3">
      <c r="F195" s="210" t="str">
        <f>ADMIN!T37</f>
        <v>갤럭시 S26_256G</v>
      </c>
    </row>
    <row r="196" spans="6:6" x14ac:dyDescent="0.3">
      <c r="F196" s="210" t="str">
        <f>ADMIN!T38</f>
        <v>갤럭시 S26_256G</v>
      </c>
    </row>
    <row r="197" spans="6:6" x14ac:dyDescent="0.3">
      <c r="F197" s="210" t="str">
        <f>ADMIN!T39</f>
        <v>갤럭시 S26_256G</v>
      </c>
    </row>
    <row r="198" spans="6:6" x14ac:dyDescent="0.3">
      <c r="F198" s="210" t="str">
        <f>ADMIN!T40</f>
        <v>갤럭시 S26_512G</v>
      </c>
    </row>
    <row r="199" spans="6:6" x14ac:dyDescent="0.3">
      <c r="F199" s="210" t="str">
        <f>ADMIN!T41</f>
        <v>갤럭시 S26 플러스_256G</v>
      </c>
    </row>
    <row r="200" spans="6:6" x14ac:dyDescent="0.3">
      <c r="F200" s="210" t="str">
        <f>ADMIN!T42</f>
        <v>갤럭시 S26 플러스_512G</v>
      </c>
    </row>
    <row r="201" spans="6:6" x14ac:dyDescent="0.3">
      <c r="F201" s="210" t="str">
        <f>ADMIN!T43</f>
        <v>갤럭시 S26 울트라_256G</v>
      </c>
    </row>
    <row r="202" spans="6:6" x14ac:dyDescent="0.3">
      <c r="F202" s="210" t="str">
        <f>ADMIN!T44</f>
        <v>갤럭시 S26 울트라_512G</v>
      </c>
    </row>
    <row r="203" spans="6:6" x14ac:dyDescent="0.3">
      <c r="F203" s="210" t="str">
        <f>ADMIN!T45</f>
        <v>아이폰에어_1TB</v>
      </c>
    </row>
    <row r="204" spans="6:6" x14ac:dyDescent="0.3">
      <c r="F204" s="210" t="str">
        <f>ADMIN!T46</f>
        <v>키즈폰 무너2</v>
      </c>
    </row>
    <row r="205" spans="6:6" x14ac:dyDescent="0.3">
      <c r="F205" s="210" t="str">
        <f>ADMIN!T47</f>
        <v>아이폰에어_1TB</v>
      </c>
    </row>
    <row r="206" spans="6:6" x14ac:dyDescent="0.3">
      <c r="F206" s="210" t="str">
        <f>ADMIN!T48</f>
        <v>키즈폰 무너2</v>
      </c>
    </row>
    <row r="207" spans="6:6" x14ac:dyDescent="0.3">
      <c r="F207" s="210">
        <f>ADMIN!T49</f>
        <v>0</v>
      </c>
    </row>
    <row r="208" spans="6:6" x14ac:dyDescent="0.3">
      <c r="F208" s="210">
        <f>ADMIN!T50</f>
        <v>0</v>
      </c>
    </row>
    <row r="209" spans="6:6" x14ac:dyDescent="0.3">
      <c r="F209" s="210">
        <f>ADMIN!T51</f>
        <v>0</v>
      </c>
    </row>
    <row r="210" spans="6:6" x14ac:dyDescent="0.3">
      <c r="F210" s="210">
        <f>ADMIN!T52</f>
        <v>0</v>
      </c>
    </row>
    <row r="211" spans="6:6" x14ac:dyDescent="0.3">
      <c r="F211" s="210">
        <f>ADMIN!T53</f>
        <v>0</v>
      </c>
    </row>
    <row r="212" spans="6:6" x14ac:dyDescent="0.3">
      <c r="F212" s="210">
        <f>ADMIN!T54</f>
        <v>0</v>
      </c>
    </row>
    <row r="213" spans="6:6" x14ac:dyDescent="0.3">
      <c r="F213" s="210">
        <f>ADMIN!T55</f>
        <v>0</v>
      </c>
    </row>
    <row r="214" spans="6:6" x14ac:dyDescent="0.3">
      <c r="F214" s="210">
        <f>ADMIN!T56</f>
        <v>0</v>
      </c>
    </row>
    <row r="215" spans="6:6" x14ac:dyDescent="0.3">
      <c r="F215" s="210">
        <f>ADMIN!T57</f>
        <v>0</v>
      </c>
    </row>
    <row r="216" spans="6:6" x14ac:dyDescent="0.3">
      <c r="F216" s="210">
        <f>ADMIN!T58</f>
        <v>0</v>
      </c>
    </row>
    <row r="217" spans="6:6" x14ac:dyDescent="0.3">
      <c r="F217" s="210">
        <f>ADMIN!T59</f>
        <v>0</v>
      </c>
    </row>
    <row r="218" spans="6:6" x14ac:dyDescent="0.3">
      <c r="F218" s="210">
        <f>ADMIN!T60</f>
        <v>0</v>
      </c>
    </row>
    <row r="219" spans="6:6" x14ac:dyDescent="0.3">
      <c r="F219" s="210">
        <f>ADMIN!T61</f>
        <v>0</v>
      </c>
    </row>
    <row r="220" spans="6:6" x14ac:dyDescent="0.3">
      <c r="F220" s="210">
        <f>ADMIN!T62</f>
        <v>0</v>
      </c>
    </row>
    <row r="221" spans="6:6" x14ac:dyDescent="0.3">
      <c r="F221" s="210">
        <f>ADMIN!T63</f>
        <v>0</v>
      </c>
    </row>
    <row r="222" spans="6:6" x14ac:dyDescent="0.3">
      <c r="F222" s="210">
        <f>ADMIN!T64</f>
        <v>0</v>
      </c>
    </row>
    <row r="223" spans="6:6" x14ac:dyDescent="0.3">
      <c r="F223" s="210">
        <f>ADMIN!T65</f>
        <v>0</v>
      </c>
    </row>
    <row r="224" spans="6:6" x14ac:dyDescent="0.3">
      <c r="F224" s="210">
        <f>ADMIN!T66</f>
        <v>0</v>
      </c>
    </row>
    <row r="225" spans="6:6" x14ac:dyDescent="0.3">
      <c r="F225" s="210">
        <f>ADMIN!T67</f>
        <v>0</v>
      </c>
    </row>
    <row r="226" spans="6:6" x14ac:dyDescent="0.3">
      <c r="F226" s="210">
        <f>ADMIN!T68</f>
        <v>0</v>
      </c>
    </row>
    <row r="227" spans="6:6" x14ac:dyDescent="0.3">
      <c r="F227" s="210">
        <f>ADMIN!T69</f>
        <v>0</v>
      </c>
    </row>
    <row r="228" spans="6:6" x14ac:dyDescent="0.3">
      <c r="F228" s="210">
        <f>ADMIN!T70</f>
        <v>0</v>
      </c>
    </row>
    <row r="229" spans="6:6" x14ac:dyDescent="0.3">
      <c r="F229" s="210">
        <f>ADMIN!T71</f>
        <v>0</v>
      </c>
    </row>
    <row r="230" spans="6:6" x14ac:dyDescent="0.3">
      <c r="F230" s="210">
        <f>ADMIN!T72</f>
        <v>0</v>
      </c>
    </row>
    <row r="231" spans="6:6" x14ac:dyDescent="0.3">
      <c r="F231" s="210">
        <f>ADMIN!T73</f>
        <v>0</v>
      </c>
    </row>
    <row r="232" spans="6:6" x14ac:dyDescent="0.3">
      <c r="F232" s="210">
        <f>ADMIN!T74</f>
        <v>0</v>
      </c>
    </row>
    <row r="233" spans="6:6" x14ac:dyDescent="0.3">
      <c r="F233" s="210">
        <f>ADMIN!T75</f>
        <v>0</v>
      </c>
    </row>
    <row r="234" spans="6:6" x14ac:dyDescent="0.3">
      <c r="F234" s="210">
        <f>ADMIN!T76</f>
        <v>0</v>
      </c>
    </row>
    <row r="235" spans="6:6" x14ac:dyDescent="0.3">
      <c r="F235" s="210">
        <f>ADMIN!T77</f>
        <v>0</v>
      </c>
    </row>
    <row r="236" spans="6:6" x14ac:dyDescent="0.3">
      <c r="F236" s="210">
        <f>ADMIN!T78</f>
        <v>0</v>
      </c>
    </row>
    <row r="237" spans="6:6" x14ac:dyDescent="0.3">
      <c r="F237" s="210">
        <f>ADMIN!T79</f>
        <v>0</v>
      </c>
    </row>
    <row r="238" spans="6:6" x14ac:dyDescent="0.3">
      <c r="F238" s="210">
        <f>ADMIN!T80</f>
        <v>0</v>
      </c>
    </row>
    <row r="239" spans="6:6" x14ac:dyDescent="0.3">
      <c r="F239" s="210">
        <f>ADMIN!T81</f>
        <v>0</v>
      </c>
    </row>
    <row r="240" spans="6:6" x14ac:dyDescent="0.3">
      <c r="F240" s="210">
        <f>ADMIN!T82</f>
        <v>0</v>
      </c>
    </row>
    <row r="241" spans="6:6" x14ac:dyDescent="0.3">
      <c r="F241" s="210">
        <f>ADMIN!T83</f>
        <v>0</v>
      </c>
    </row>
    <row r="242" spans="6:6" x14ac:dyDescent="0.3">
      <c r="F242" s="210">
        <f>ADMIN!T84</f>
        <v>0</v>
      </c>
    </row>
    <row r="243" spans="6:6" ht="17.25" thickBot="1" x14ac:dyDescent="0.35">
      <c r="F243" s="211">
        <f>ADMIN!T85</f>
        <v>0</v>
      </c>
    </row>
  </sheetData>
  <mergeCells count="2">
    <mergeCell ref="B2:D2"/>
    <mergeCell ref="F2:F3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5B5B"/>
  </sheetPr>
  <dimension ref="B2:M72"/>
  <sheetViews>
    <sheetView showGridLines="0" zoomScaleNormal="100" workbookViewId="0"/>
  </sheetViews>
  <sheetFormatPr defaultRowHeight="16.5" x14ac:dyDescent="0.3"/>
  <cols>
    <col min="1" max="1" width="2.625" customWidth="1"/>
    <col min="2" max="2" width="20.625" customWidth="1"/>
    <col min="3" max="3" width="10.75" customWidth="1"/>
    <col min="4" max="5" width="9.5" customWidth="1"/>
    <col min="6" max="6" width="8" customWidth="1"/>
    <col min="7" max="8" width="9.5" customWidth="1"/>
    <col min="9" max="9" width="10.625" customWidth="1"/>
    <col min="10" max="10" width="2.625" customWidth="1"/>
    <col min="12" max="12" width="26.875" bestFit="1" customWidth="1"/>
  </cols>
  <sheetData>
    <row r="2" spans="2:13" ht="38.25" customHeight="1" x14ac:dyDescent="0.3">
      <c r="L2" s="42" t="str">
        <f ca="1">TEXT(TODAY(),"m월 d일 오늘의 특가")</f>
        <v>6월 25일 오늘의 특가</v>
      </c>
      <c r="M2" t="s">
        <v>93</v>
      </c>
    </row>
    <row r="3" spans="2:13" ht="19.5" customHeight="1" x14ac:dyDescent="0.3">
      <c r="B3" s="559" t="str">
        <f ca="1">TEXT(TODAY(),"m월 d일 오늘의 특가")</f>
        <v>6월 25일 오늘의 특가</v>
      </c>
      <c r="C3" s="560"/>
      <c r="D3" s="554" t="s">
        <v>39</v>
      </c>
      <c r="E3" s="555"/>
      <c r="F3" s="555" t="s">
        <v>45</v>
      </c>
      <c r="G3" s="555"/>
      <c r="H3" s="555" t="s">
        <v>41</v>
      </c>
      <c r="I3" s="556"/>
    </row>
    <row r="4" spans="2:13" ht="20.25" customHeight="1" x14ac:dyDescent="0.3">
      <c r="B4" s="561"/>
      <c r="C4" s="562"/>
      <c r="D4" s="99" t="s">
        <v>5</v>
      </c>
      <c r="E4" s="100" t="s">
        <v>7</v>
      </c>
      <c r="F4" s="100" t="s">
        <v>5</v>
      </c>
      <c r="G4" s="100" t="s">
        <v>7</v>
      </c>
      <c r="H4" s="100" t="s">
        <v>5</v>
      </c>
      <c r="I4" s="101" t="s">
        <v>7</v>
      </c>
    </row>
    <row r="5" spans="2:13" ht="19.5" customHeight="1" x14ac:dyDescent="0.3">
      <c r="B5" s="557" t="s">
        <v>121</v>
      </c>
      <c r="C5" s="558"/>
      <c r="D5" s="91"/>
      <c r="E5" s="92"/>
      <c r="F5" s="92"/>
      <c r="G5" s="92"/>
      <c r="H5" s="92"/>
      <c r="I5" s="93"/>
    </row>
    <row r="6" spans="2:13" ht="20.25" customHeight="1" x14ac:dyDescent="0.3">
      <c r="B6" s="538" t="s">
        <v>122</v>
      </c>
      <c r="C6" s="539"/>
      <c r="D6" s="26"/>
      <c r="E6" s="21"/>
      <c r="F6" s="21"/>
      <c r="G6" s="21"/>
      <c r="H6" s="21"/>
      <c r="I6" s="94"/>
    </row>
    <row r="7" spans="2:13" ht="20.25" customHeight="1" x14ac:dyDescent="0.3">
      <c r="B7" s="536" t="s">
        <v>40</v>
      </c>
      <c r="C7" s="537"/>
      <c r="D7" s="27"/>
      <c r="E7" s="25"/>
      <c r="F7" s="25"/>
      <c r="G7" s="25"/>
      <c r="H7" s="25"/>
      <c r="I7" s="95"/>
    </row>
    <row r="8" spans="2:13" ht="20.25" customHeight="1" x14ac:dyDescent="0.3">
      <c r="B8" s="538" t="s">
        <v>15</v>
      </c>
      <c r="C8" s="539"/>
      <c r="D8" s="26"/>
      <c r="E8" s="21"/>
      <c r="F8" s="21"/>
      <c r="G8" s="21"/>
      <c r="H8" s="21"/>
      <c r="I8" s="94"/>
    </row>
    <row r="9" spans="2:13" ht="20.25" customHeight="1" x14ac:dyDescent="0.3">
      <c r="B9" s="536" t="s">
        <v>16</v>
      </c>
      <c r="C9" s="537"/>
      <c r="D9" s="27"/>
      <c r="E9" s="25"/>
      <c r="F9" s="25"/>
      <c r="G9" s="25"/>
      <c r="H9" s="25"/>
      <c r="I9" s="95"/>
    </row>
    <row r="10" spans="2:13" ht="20.25" customHeight="1" x14ac:dyDescent="0.3">
      <c r="B10" s="538" t="s">
        <v>17</v>
      </c>
      <c r="C10" s="539"/>
      <c r="D10" s="26"/>
      <c r="E10" s="21"/>
      <c r="F10" s="21"/>
      <c r="G10" s="21"/>
      <c r="H10" s="21"/>
      <c r="I10" s="94"/>
    </row>
    <row r="11" spans="2:13" ht="20.25" customHeight="1" x14ac:dyDescent="0.3">
      <c r="B11" s="536" t="s">
        <v>30</v>
      </c>
      <c r="C11" s="537"/>
      <c r="D11" s="27"/>
      <c r="E11" s="25"/>
      <c r="F11" s="25"/>
      <c r="G11" s="25"/>
      <c r="H11" s="25"/>
      <c r="I11" s="95"/>
    </row>
    <row r="12" spans="2:13" ht="20.25" customHeight="1" x14ac:dyDescent="0.3">
      <c r="B12" s="538" t="s">
        <v>32</v>
      </c>
      <c r="C12" s="539"/>
      <c r="D12" s="26"/>
      <c r="E12" s="21"/>
      <c r="F12" s="21"/>
      <c r="G12" s="21"/>
      <c r="H12" s="21"/>
      <c r="I12" s="94"/>
    </row>
    <row r="13" spans="2:13" ht="20.25" customHeight="1" x14ac:dyDescent="0.3">
      <c r="B13" s="536" t="s">
        <v>34</v>
      </c>
      <c r="C13" s="537"/>
      <c r="D13" s="27"/>
      <c r="E13" s="25"/>
      <c r="F13" s="25"/>
      <c r="G13" s="25"/>
      <c r="H13" s="25"/>
      <c r="I13" s="95"/>
    </row>
    <row r="14" spans="2:13" ht="20.25" customHeight="1" x14ac:dyDescent="0.3">
      <c r="B14" s="538" t="s">
        <v>36</v>
      </c>
      <c r="C14" s="539"/>
      <c r="D14" s="26"/>
      <c r="E14" s="21"/>
      <c r="F14" s="21"/>
      <c r="G14" s="21"/>
      <c r="H14" s="21"/>
      <c r="I14" s="94"/>
    </row>
    <row r="15" spans="2:13" ht="20.25" customHeight="1" x14ac:dyDescent="0.3">
      <c r="B15" s="536" t="s">
        <v>20</v>
      </c>
      <c r="C15" s="537"/>
      <c r="D15" s="27"/>
      <c r="E15" s="25"/>
      <c r="F15" s="25"/>
      <c r="G15" s="25"/>
      <c r="H15" s="25"/>
      <c r="I15" s="95"/>
    </row>
    <row r="16" spans="2:13" ht="20.25" customHeight="1" x14ac:dyDescent="0.3">
      <c r="B16" s="538" t="s">
        <v>19</v>
      </c>
      <c r="C16" s="539"/>
      <c r="D16" s="26"/>
      <c r="E16" s="21"/>
      <c r="F16" s="21"/>
      <c r="G16" s="21"/>
      <c r="H16" s="21"/>
      <c r="I16" s="94"/>
    </row>
    <row r="17" spans="2:9" ht="20.25" customHeight="1" x14ac:dyDescent="0.3">
      <c r="B17" s="536" t="s">
        <v>21</v>
      </c>
      <c r="C17" s="537"/>
      <c r="D17" s="27"/>
      <c r="E17" s="25"/>
      <c r="F17" s="25"/>
      <c r="G17" s="25"/>
      <c r="H17" s="25"/>
      <c r="I17" s="95"/>
    </row>
    <row r="18" spans="2:9" ht="20.25" customHeight="1" x14ac:dyDescent="0.3">
      <c r="B18" s="538" t="s">
        <v>22</v>
      </c>
      <c r="C18" s="539"/>
      <c r="D18" s="26"/>
      <c r="E18" s="21"/>
      <c r="F18" s="21"/>
      <c r="G18" s="21"/>
      <c r="H18" s="21"/>
      <c r="I18" s="94"/>
    </row>
    <row r="19" spans="2:9" ht="20.25" customHeight="1" x14ac:dyDescent="0.3">
      <c r="B19" s="536" t="s">
        <v>23</v>
      </c>
      <c r="C19" s="537"/>
      <c r="D19" s="27"/>
      <c r="E19" s="25"/>
      <c r="F19" s="25"/>
      <c r="G19" s="25"/>
      <c r="H19" s="25"/>
      <c r="I19" s="95"/>
    </row>
    <row r="20" spans="2:9" ht="20.25" customHeight="1" x14ac:dyDescent="0.3">
      <c r="B20" s="538" t="s">
        <v>24</v>
      </c>
      <c r="C20" s="539"/>
      <c r="D20" s="26"/>
      <c r="E20" s="21"/>
      <c r="F20" s="21"/>
      <c r="G20" s="21"/>
      <c r="H20" s="21"/>
      <c r="I20" s="94"/>
    </row>
    <row r="21" spans="2:9" ht="20.25" customHeight="1" x14ac:dyDescent="0.3">
      <c r="B21" s="536" t="s">
        <v>25</v>
      </c>
      <c r="C21" s="537"/>
      <c r="D21" s="27"/>
      <c r="E21" s="25"/>
      <c r="F21" s="25"/>
      <c r="G21" s="25"/>
      <c r="H21" s="25"/>
      <c r="I21" s="95"/>
    </row>
    <row r="22" spans="2:9" ht="20.25" customHeight="1" x14ac:dyDescent="0.3">
      <c r="B22" s="538" t="s">
        <v>37</v>
      </c>
      <c r="C22" s="539"/>
      <c r="D22" s="26"/>
      <c r="E22" s="21"/>
      <c r="F22" s="21"/>
      <c r="G22" s="21"/>
      <c r="H22" s="21"/>
      <c r="I22" s="94"/>
    </row>
    <row r="23" spans="2:9" ht="20.25" hidden="1" customHeight="1" x14ac:dyDescent="0.3">
      <c r="B23" s="536"/>
      <c r="C23" s="537"/>
      <c r="D23" s="27" t="str" cm="1">
        <f t="array" ref="D23">IFERROR(INDEX(SKT번이구매가,MATCH(1,(SKT요금제=$D$3)*(SKT모델명=$B23),0)),"")</f>
        <v/>
      </c>
      <c r="E23" s="25" t="str" cm="1">
        <f t="array" ref="E23">IFERROR(INDEX(SKT기변구매가,MATCH(1,(SKT요금제=$D$3)*(SKT모델명=$B23),0)),"")</f>
        <v/>
      </c>
      <c r="F23" s="25" t="str" cm="1">
        <f t="array" ref="F23">IFERROR(INDEX(SKT번이구매가,MATCH(1,(SKT요금제=$F$3)*(SKT모델명=$B23),0)),"")</f>
        <v/>
      </c>
      <c r="G23" s="25" t="str" cm="1">
        <f t="array" ref="G23">IFERROR(INDEX(SKT기변구매가,MATCH(1,(SKT요금제=$F$3)*(SKT모델명=$B23),0)),"")</f>
        <v/>
      </c>
      <c r="H23" s="25" t="str" cm="1">
        <f t="array" ref="H23">IFERROR(INDEX(SKT번이구매가,MATCH(1,(SKT요금제=$H$3)*(SKT모델명=$B23),0)),"")</f>
        <v/>
      </c>
      <c r="I23" s="95" t="str" cm="1">
        <f t="array" ref="I23">IFERROR(INDEX(SKT기변구매가,MATCH(1,(SKT요금제=$H$3)*(SKT모델명=$B23),0)),"")</f>
        <v/>
      </c>
    </row>
    <row r="24" spans="2:9" ht="20.25" hidden="1" customHeight="1" x14ac:dyDescent="0.3">
      <c r="B24" s="538"/>
      <c r="C24" s="539"/>
      <c r="D24" s="26" t="str" cm="1">
        <f t="array" ref="D24">IFERROR(INDEX(SKT번이구매가,MATCH(1,(SKT요금제=$D$3)*(SKT모델명=$B24),0)),"")</f>
        <v/>
      </c>
      <c r="E24" s="21" t="str" cm="1">
        <f t="array" ref="E24">IFERROR(INDEX(SKT기변구매가,MATCH(1,(SKT요금제=$D$3)*(SKT모델명=$B24),0)),"")</f>
        <v/>
      </c>
      <c r="F24" s="21" t="str" cm="1">
        <f t="array" ref="F24">IFERROR(INDEX(SKT번이구매가,MATCH(1,(SKT요금제=$F$3)*(SKT모델명=$B24),0)),"")</f>
        <v/>
      </c>
      <c r="G24" s="21" t="str" cm="1">
        <f t="array" ref="G24">IFERROR(INDEX(SKT기변구매가,MATCH(1,(SKT요금제=$F$3)*(SKT모델명=$B24),0)),"")</f>
        <v/>
      </c>
      <c r="H24" s="21" t="str" cm="1">
        <f t="array" ref="H24">IFERROR(INDEX(SKT번이구매가,MATCH(1,(SKT요금제=$H$3)*(SKT모델명=$B24),0)),"")</f>
        <v/>
      </c>
      <c r="I24" s="94" t="str" cm="1">
        <f t="array" ref="I24">IFERROR(INDEX(SKT기변구매가,MATCH(1,(SKT요금제=$H$3)*(SKT모델명=$B24),0)),"")</f>
        <v/>
      </c>
    </row>
    <row r="25" spans="2:9" ht="20.25" hidden="1" customHeight="1" x14ac:dyDescent="0.3">
      <c r="B25" s="536"/>
      <c r="C25" s="537"/>
      <c r="D25" s="27" t="str" cm="1">
        <f t="array" ref="D25">IFERROR(INDEX(SKT번이구매가,MATCH(1,(SKT요금제=$D$3)*(SKT모델명=$B25),0)),"")</f>
        <v/>
      </c>
      <c r="E25" s="25" t="str" cm="1">
        <f t="array" ref="E25">IFERROR(INDEX(SKT기변구매가,MATCH(1,(SKT요금제=$D$3)*(SKT모델명=$B25),0)),"")</f>
        <v/>
      </c>
      <c r="F25" s="25" t="str" cm="1">
        <f t="array" ref="F25">IFERROR(INDEX(SKT번이구매가,MATCH(1,(SKT요금제=$F$3)*(SKT모델명=$B25),0)),"")</f>
        <v/>
      </c>
      <c r="G25" s="25" t="str" cm="1">
        <f t="array" ref="G25">IFERROR(INDEX(SKT기변구매가,MATCH(1,(SKT요금제=$F$3)*(SKT모델명=$B25),0)),"")</f>
        <v/>
      </c>
      <c r="H25" s="25" t="str" cm="1">
        <f t="array" ref="H25">IFERROR(INDEX(SKT번이구매가,MATCH(1,(SKT요금제=$H$3)*(SKT모델명=$B25),0)),"")</f>
        <v/>
      </c>
      <c r="I25" s="95" t="str" cm="1">
        <f t="array" ref="I25">IFERROR(INDEX(SKT기변구매가,MATCH(1,(SKT요금제=$H$3)*(SKT모델명=$B25),0)),"")</f>
        <v/>
      </c>
    </row>
    <row r="26" spans="2:9" ht="20.25" hidden="1" customHeight="1" x14ac:dyDescent="0.3">
      <c r="B26" s="538"/>
      <c r="C26" s="539"/>
      <c r="D26" s="26" t="str" cm="1">
        <f t="array" ref="D26">IFERROR(INDEX(SKT번이구매가,MATCH(1,(SKT요금제=$D$3)*(SKT모델명=$B26),0)),"")</f>
        <v/>
      </c>
      <c r="E26" s="21" t="str" cm="1">
        <f t="array" ref="E26">IFERROR(INDEX(SKT기변구매가,MATCH(1,(SKT요금제=$D$3)*(SKT모델명=$B26),0)),"")</f>
        <v/>
      </c>
      <c r="F26" s="21" t="str" cm="1">
        <f t="array" ref="F26">IFERROR(INDEX(SKT번이구매가,MATCH(1,(SKT요금제=$F$3)*(SKT모델명=$B26),0)),"")</f>
        <v/>
      </c>
      <c r="G26" s="21" t="str" cm="1">
        <f t="array" ref="G26">IFERROR(INDEX(SKT기변구매가,MATCH(1,(SKT요금제=$F$3)*(SKT모델명=$B26),0)),"")</f>
        <v/>
      </c>
      <c r="H26" s="21" t="str" cm="1">
        <f t="array" ref="H26">IFERROR(INDEX(SKT번이구매가,MATCH(1,(SKT요금제=$H$3)*(SKT모델명=$B26),0)),"")</f>
        <v/>
      </c>
      <c r="I26" s="94" t="str" cm="1">
        <f t="array" ref="I26">IFERROR(INDEX(SKT기변구매가,MATCH(1,(SKT요금제=$H$3)*(SKT모델명=$B26),0)),"")</f>
        <v/>
      </c>
    </row>
    <row r="27" spans="2:9" ht="20.25" hidden="1" customHeight="1" x14ac:dyDescent="0.3">
      <c r="B27" s="536"/>
      <c r="C27" s="537"/>
      <c r="D27" s="27" t="str" cm="1">
        <f t="array" ref="D27">IFERROR(INDEX(SKT번이구매가,MATCH(1,(SKT요금제=$D$3)*(SKT모델명=$B27),0)),"")</f>
        <v/>
      </c>
      <c r="E27" s="25" t="str" cm="1">
        <f t="array" ref="E27">IFERROR(INDEX(SKT기변구매가,MATCH(1,(SKT요금제=$D$3)*(SKT모델명=$B27),0)),"")</f>
        <v/>
      </c>
      <c r="F27" s="25" t="str" cm="1">
        <f t="array" ref="F27">IFERROR(INDEX(SKT번이구매가,MATCH(1,(SKT요금제=$F$3)*(SKT모델명=$B27),0)),"")</f>
        <v/>
      </c>
      <c r="G27" s="25" t="str" cm="1">
        <f t="array" ref="G27">IFERROR(INDEX(SKT기변구매가,MATCH(1,(SKT요금제=$F$3)*(SKT모델명=$B27),0)),"")</f>
        <v/>
      </c>
      <c r="H27" s="25" t="str" cm="1">
        <f t="array" ref="H27">IFERROR(INDEX(SKT번이구매가,MATCH(1,(SKT요금제=$H$3)*(SKT모델명=$B27),0)),"")</f>
        <v/>
      </c>
      <c r="I27" s="95" t="str" cm="1">
        <f t="array" ref="I27">IFERROR(INDEX(SKT기변구매가,MATCH(1,(SKT요금제=$H$3)*(SKT모델명=$B27),0)),"")</f>
        <v/>
      </c>
    </row>
    <row r="28" spans="2:9" ht="20.25" hidden="1" customHeight="1" x14ac:dyDescent="0.3">
      <c r="B28" s="538"/>
      <c r="C28" s="539"/>
      <c r="D28" s="26" t="str" cm="1">
        <f t="array" ref="D28">IFERROR(INDEX(SKT번이구매가,MATCH(1,(SKT요금제=$D$3)*(SKT모델명=$B28),0)),"")</f>
        <v/>
      </c>
      <c r="E28" s="21" t="str" cm="1">
        <f t="array" ref="E28">IFERROR(INDEX(SKT기변구매가,MATCH(1,(SKT요금제=$D$3)*(SKT모델명=$B28),0)),"")</f>
        <v/>
      </c>
      <c r="F28" s="21" t="str" cm="1">
        <f t="array" ref="F28">IFERROR(INDEX(SKT번이구매가,MATCH(1,(SKT요금제=$F$3)*(SKT모델명=$B28),0)),"")</f>
        <v/>
      </c>
      <c r="G28" s="21" t="str" cm="1">
        <f t="array" ref="G28">IFERROR(INDEX(SKT기변구매가,MATCH(1,(SKT요금제=$F$3)*(SKT모델명=$B28),0)),"")</f>
        <v/>
      </c>
      <c r="H28" s="21" t="str" cm="1">
        <f t="array" ref="H28">IFERROR(INDEX(SKT번이구매가,MATCH(1,(SKT요금제=$H$3)*(SKT모델명=$B28),0)),"")</f>
        <v/>
      </c>
      <c r="I28" s="94" t="str" cm="1">
        <f t="array" ref="I28">IFERROR(INDEX(SKT기변구매가,MATCH(1,(SKT요금제=$H$3)*(SKT모델명=$B28),0)),"")</f>
        <v/>
      </c>
    </row>
    <row r="29" spans="2:9" ht="20.25" hidden="1" customHeight="1" x14ac:dyDescent="0.3">
      <c r="B29" s="536"/>
      <c r="C29" s="537"/>
      <c r="D29" s="27" t="str" cm="1">
        <f t="array" ref="D29">IFERROR(INDEX(SKT번이구매가,MATCH(1,(SKT요금제=$D$3)*(SKT모델명=$B29),0)),"")</f>
        <v/>
      </c>
      <c r="E29" s="25" t="str" cm="1">
        <f t="array" ref="E29">IFERROR(INDEX(SKT기변구매가,MATCH(1,(SKT요금제=$D$3)*(SKT모델명=$B29),0)),"")</f>
        <v/>
      </c>
      <c r="F29" s="25" t="str" cm="1">
        <f t="array" ref="F29">IFERROR(INDEX(SKT번이구매가,MATCH(1,(SKT요금제=$F$3)*(SKT모델명=$B29),0)),"")</f>
        <v/>
      </c>
      <c r="G29" s="25" t="str" cm="1">
        <f t="array" ref="G29">IFERROR(INDEX(SKT기변구매가,MATCH(1,(SKT요금제=$F$3)*(SKT모델명=$B29),0)),"")</f>
        <v/>
      </c>
      <c r="H29" s="25" t="str" cm="1">
        <f t="array" ref="H29">IFERROR(INDEX(SKT번이구매가,MATCH(1,(SKT요금제=$H$3)*(SKT모델명=$B29),0)),"")</f>
        <v/>
      </c>
      <c r="I29" s="95" t="str" cm="1">
        <f t="array" ref="I29">IFERROR(INDEX(SKT기변구매가,MATCH(1,(SKT요금제=$H$3)*(SKT모델명=$B29),0)),"")</f>
        <v/>
      </c>
    </row>
    <row r="30" spans="2:9" ht="20.25" hidden="1" customHeight="1" x14ac:dyDescent="0.3">
      <c r="B30" s="538"/>
      <c r="C30" s="539"/>
      <c r="D30" s="26" t="str" cm="1">
        <f t="array" ref="D30">IFERROR(INDEX(SKT번이구매가,MATCH(1,(SKT요금제=$D$3)*(SKT모델명=$B30),0)),"")</f>
        <v/>
      </c>
      <c r="E30" s="21" t="str" cm="1">
        <f t="array" ref="E30">IFERROR(INDEX(SKT기변구매가,MATCH(1,(SKT요금제=$D$3)*(SKT모델명=$B30),0)),"")</f>
        <v/>
      </c>
      <c r="F30" s="21" t="str" cm="1">
        <f t="array" ref="F30">IFERROR(INDEX(SKT번이구매가,MATCH(1,(SKT요금제=$F$3)*(SKT모델명=$B30),0)),"")</f>
        <v/>
      </c>
      <c r="G30" s="21" t="str" cm="1">
        <f t="array" ref="G30">IFERROR(INDEX(SKT기변구매가,MATCH(1,(SKT요금제=$F$3)*(SKT모델명=$B30),0)),"")</f>
        <v/>
      </c>
      <c r="H30" s="21" t="str" cm="1">
        <f t="array" ref="H30">IFERROR(INDEX(SKT번이구매가,MATCH(1,(SKT요금제=$H$3)*(SKT모델명=$B30),0)),"")</f>
        <v/>
      </c>
      <c r="I30" s="94" t="str" cm="1">
        <f t="array" ref="I30">IFERROR(INDEX(SKT기변구매가,MATCH(1,(SKT요금제=$H$3)*(SKT모델명=$B30),0)),"")</f>
        <v/>
      </c>
    </row>
    <row r="31" spans="2:9" ht="20.25" hidden="1" customHeight="1" x14ac:dyDescent="0.3">
      <c r="B31" s="536"/>
      <c r="C31" s="537"/>
      <c r="D31" s="27" t="str" cm="1">
        <f t="array" ref="D31">IFERROR(INDEX(SKT번이구매가,MATCH(1,(SKT요금제=$D$3)*(SKT모델명=$B31),0)),"")</f>
        <v/>
      </c>
      <c r="E31" s="25" t="str" cm="1">
        <f t="array" ref="E31">IFERROR(INDEX(SKT기변구매가,MATCH(1,(SKT요금제=$D$3)*(SKT모델명=$B31),0)),"")</f>
        <v/>
      </c>
      <c r="F31" s="25" t="str" cm="1">
        <f t="array" ref="F31">IFERROR(INDEX(SKT번이구매가,MATCH(1,(SKT요금제=$F$3)*(SKT모델명=$B31),0)),"")</f>
        <v/>
      </c>
      <c r="G31" s="25" t="str" cm="1">
        <f t="array" ref="G31">IFERROR(INDEX(SKT기변구매가,MATCH(1,(SKT요금제=$F$3)*(SKT모델명=$B31),0)),"")</f>
        <v/>
      </c>
      <c r="H31" s="25" t="str" cm="1">
        <f t="array" ref="H31">IFERROR(INDEX(SKT번이구매가,MATCH(1,(SKT요금제=$H$3)*(SKT모델명=$B31),0)),"")</f>
        <v/>
      </c>
      <c r="I31" s="95" t="str" cm="1">
        <f t="array" ref="I31">IFERROR(INDEX(SKT기변구매가,MATCH(1,(SKT요금제=$H$3)*(SKT모델명=$B31),0)),"")</f>
        <v/>
      </c>
    </row>
    <row r="32" spans="2:9" ht="20.25" hidden="1" customHeight="1" x14ac:dyDescent="0.3">
      <c r="B32" s="538"/>
      <c r="C32" s="539"/>
      <c r="D32" s="26" t="str" cm="1">
        <f t="array" ref="D32">IFERROR(INDEX(SKT번이구매가,MATCH(1,(SKT요금제=$D$3)*(SKT모델명=$B32),0)),"")</f>
        <v/>
      </c>
      <c r="E32" s="21" t="str" cm="1">
        <f t="array" ref="E32">IFERROR(INDEX(SKT기변구매가,MATCH(1,(SKT요금제=$D$3)*(SKT모델명=$B32),0)),"")</f>
        <v/>
      </c>
      <c r="F32" s="21" t="str" cm="1">
        <f t="array" ref="F32">IFERROR(INDEX(SKT번이구매가,MATCH(1,(SKT요금제=$F$3)*(SKT모델명=$B32),0)),"")</f>
        <v/>
      </c>
      <c r="G32" s="21" t="str" cm="1">
        <f t="array" ref="G32">IFERROR(INDEX(SKT기변구매가,MATCH(1,(SKT요금제=$F$3)*(SKT모델명=$B32),0)),"")</f>
        <v/>
      </c>
      <c r="H32" s="21" t="str" cm="1">
        <f t="array" ref="H32">IFERROR(INDEX(SKT번이구매가,MATCH(1,(SKT요금제=$H$3)*(SKT모델명=$B32),0)),"")</f>
        <v/>
      </c>
      <c r="I32" s="94" t="str" cm="1">
        <f t="array" ref="I32">IFERROR(INDEX(SKT기변구매가,MATCH(1,(SKT요금제=$H$3)*(SKT모델명=$B32),0)),"")</f>
        <v/>
      </c>
    </row>
    <row r="33" spans="2:9" ht="20.25" hidden="1" customHeight="1" x14ac:dyDescent="0.3">
      <c r="B33" s="536"/>
      <c r="C33" s="537"/>
      <c r="D33" s="27" t="str" cm="1">
        <f t="array" ref="D33">IFERROR(INDEX(SKT번이구매가,MATCH(1,(SKT요금제=$D$3)*(SKT모델명=$B33),0)),"")</f>
        <v/>
      </c>
      <c r="E33" s="25" t="str" cm="1">
        <f t="array" ref="E33">IFERROR(INDEX(SKT기변구매가,MATCH(1,(SKT요금제=$D$3)*(SKT모델명=$B33),0)),"")</f>
        <v/>
      </c>
      <c r="F33" s="25" t="str" cm="1">
        <f t="array" ref="F33">IFERROR(INDEX(SKT번이구매가,MATCH(1,(SKT요금제=$F$3)*(SKT모델명=$B33),0)),"")</f>
        <v/>
      </c>
      <c r="G33" s="25" t="str" cm="1">
        <f t="array" ref="G33">IFERROR(INDEX(SKT기변구매가,MATCH(1,(SKT요금제=$F$3)*(SKT모델명=$B33),0)),"")</f>
        <v/>
      </c>
      <c r="H33" s="25" t="str" cm="1">
        <f t="array" ref="H33">IFERROR(INDEX(SKT번이구매가,MATCH(1,(SKT요금제=$H$3)*(SKT모델명=$B33),0)),"")</f>
        <v/>
      </c>
      <c r="I33" s="95" t="str" cm="1">
        <f t="array" ref="I33">IFERROR(INDEX(SKT기변구매가,MATCH(1,(SKT요금제=$H$3)*(SKT모델명=$B33),0)),"")</f>
        <v/>
      </c>
    </row>
    <row r="34" spans="2:9" ht="20.25" hidden="1" customHeight="1" x14ac:dyDescent="0.3">
      <c r="B34" s="540"/>
      <c r="C34" s="541"/>
      <c r="D34" s="96" t="str" cm="1">
        <f t="array" ref="D34">IFERROR(INDEX(SKT번이구매가,MATCH(1,(SKT요금제=$D$3)*(SKT모델명=$B34),0)),"")</f>
        <v/>
      </c>
      <c r="E34" s="97" t="str" cm="1">
        <f t="array" ref="E34">IFERROR(INDEX(SKT기변구매가,MATCH(1,(SKT요금제=$D$3)*(SKT모델명=$B34),0)),"")</f>
        <v/>
      </c>
      <c r="F34" s="97" t="str" cm="1">
        <f t="array" ref="F34">IFERROR(INDEX(SKT번이구매가,MATCH(1,(SKT요금제=$F$3)*(SKT모델명=$B34),0)),"")</f>
        <v/>
      </c>
      <c r="G34" s="97" t="str" cm="1">
        <f t="array" ref="G34">IFERROR(INDEX(SKT기변구매가,MATCH(1,(SKT요금제=$F$3)*(SKT모델명=$B34),0)),"")</f>
        <v/>
      </c>
      <c r="H34" s="97" t="str" cm="1">
        <f t="array" ref="H34">IFERROR(INDEX(SKT번이구매가,MATCH(1,(SKT요금제=$H$3)*(SKT모델명=$B34),0)),"")</f>
        <v/>
      </c>
      <c r="I34" s="98" t="str" cm="1">
        <f t="array" ref="I34">IFERROR(INDEX(SKT기변구매가,MATCH(1,(SKT요금제=$H$3)*(SKT모델명=$B34),0)),"")</f>
        <v/>
      </c>
    </row>
    <row r="35" spans="2:9" ht="24.75" customHeight="1" x14ac:dyDescent="0.3"/>
    <row r="36" spans="2:9" ht="14.25" customHeight="1" x14ac:dyDescent="0.3"/>
    <row r="37" spans="2:9" ht="27.75" customHeight="1" x14ac:dyDescent="0.3">
      <c r="B37" t="str" cm="1">
        <f t="array" ref="B37">IFERROR(INDEX(SKT번이구매가,MATCH(1,(SKT요금제=$B$5)*(SKT모델명=#REF!),0)),"")</f>
        <v/>
      </c>
      <c r="D37" t="str" cm="1">
        <f t="array" ref="D37">IFERROR(INDEX(SKT기변구매가,MATCH(1,(SKT요금제=$B$5)*(SKT모델명=#REF!),0)),"")</f>
        <v/>
      </c>
      <c r="E37" t="str" cm="1">
        <f t="array" ref="E37">IFERROR(INDEX(KT번이구매가,MATCH(1,(KT요금제=$E$5)*(KT모델명=#REF!),0)),"")</f>
        <v/>
      </c>
      <c r="F37" t="str" cm="1">
        <f t="array" ref="F37">IFERROR(INDEX(KT기변구매가,MATCH(1,(KT요금제=$E$5)*(KT모델명=#REF!),0)),"")</f>
        <v/>
      </c>
      <c r="G37" t="str" cm="1">
        <f t="array" ref="G37">IFERROR(INDEX(LG번이구매가,MATCH(1,(LG요금제=$G$5)*(LG모델명=#REF!),0)),"")</f>
        <v/>
      </c>
      <c r="H37" t="str" cm="1">
        <f t="array" ref="H37">IFERROR(INDEX(LG기변구매가,MATCH(1,(LG요금제=$G$5)*(LG모델명=#REF!),0)),"")</f>
        <v/>
      </c>
    </row>
    <row r="38" spans="2:9" x14ac:dyDescent="0.3">
      <c r="B38" s="79" t="s">
        <v>3</v>
      </c>
      <c r="C38" s="80" t="s">
        <v>66</v>
      </c>
      <c r="D38" s="80" t="s">
        <v>64</v>
      </c>
      <c r="E38" s="542" t="s">
        <v>67</v>
      </c>
      <c r="F38" s="553"/>
      <c r="G38" s="542" t="s">
        <v>65</v>
      </c>
      <c r="H38" s="543"/>
      <c r="I38" s="544"/>
    </row>
    <row r="39" spans="2:9" ht="42" customHeight="1" x14ac:dyDescent="0.3">
      <c r="B39" s="81" t="s">
        <v>63</v>
      </c>
      <c r="C39" s="23">
        <v>109000</v>
      </c>
      <c r="D39" s="22" t="s">
        <v>70</v>
      </c>
      <c r="E39" s="545" t="s">
        <v>94</v>
      </c>
      <c r="F39" s="546"/>
      <c r="G39" s="545" t="s">
        <v>112</v>
      </c>
      <c r="H39" s="547"/>
      <c r="I39" s="548"/>
    </row>
    <row r="40" spans="2:9" ht="42" customHeight="1" x14ac:dyDescent="0.3">
      <c r="B40" s="82" t="s">
        <v>69</v>
      </c>
      <c r="C40" s="32">
        <v>89000</v>
      </c>
      <c r="D40" s="33" t="s">
        <v>70</v>
      </c>
      <c r="E40" s="549" t="s">
        <v>94</v>
      </c>
      <c r="F40" s="550"/>
      <c r="G40" s="549" t="s">
        <v>111</v>
      </c>
      <c r="H40" s="551"/>
      <c r="I40" s="552"/>
    </row>
    <row r="41" spans="2:9" ht="42" customHeight="1" x14ac:dyDescent="0.3">
      <c r="B41" s="83" t="s">
        <v>71</v>
      </c>
      <c r="C41" s="84">
        <v>33000</v>
      </c>
      <c r="D41" s="85" t="s">
        <v>70</v>
      </c>
      <c r="E41" s="531" t="s">
        <v>113</v>
      </c>
      <c r="F41" s="532"/>
      <c r="G41" s="531" t="s">
        <v>114</v>
      </c>
      <c r="H41" s="533"/>
      <c r="I41" s="534"/>
    </row>
    <row r="42" spans="2:9" ht="27.75" customHeight="1" x14ac:dyDescent="0.3">
      <c r="B42" s="24"/>
      <c r="C42" s="24"/>
      <c r="D42" s="1"/>
      <c r="E42" s="1"/>
      <c r="F42" s="1"/>
      <c r="G42" s="1"/>
      <c r="H42" s="1"/>
    </row>
    <row r="43" spans="2:9" ht="14.25" customHeight="1" x14ac:dyDescent="0.3"/>
    <row r="44" spans="2:9" ht="11.25" customHeight="1" x14ac:dyDescent="0.3"/>
    <row r="46" spans="2:9" x14ac:dyDescent="0.3">
      <c r="B46" s="86" t="s">
        <v>3</v>
      </c>
      <c r="C46" s="80" t="s">
        <v>66</v>
      </c>
      <c r="D46" s="80" t="s">
        <v>64</v>
      </c>
      <c r="E46" s="530" t="s">
        <v>65</v>
      </c>
      <c r="F46" s="530"/>
      <c r="G46" s="530"/>
      <c r="H46" s="530"/>
      <c r="I46" s="535"/>
    </row>
    <row r="47" spans="2:9" ht="34.5" customHeight="1" x14ac:dyDescent="0.3">
      <c r="B47" s="88" t="s">
        <v>76</v>
      </c>
      <c r="C47" s="36">
        <v>3500</v>
      </c>
      <c r="D47" s="37" t="s">
        <v>78</v>
      </c>
      <c r="E47" s="528" t="s">
        <v>79</v>
      </c>
      <c r="F47" s="528"/>
      <c r="G47" s="528"/>
      <c r="H47" s="528"/>
      <c r="I47" s="529"/>
    </row>
    <row r="48" spans="2:9" ht="34.5" customHeight="1" x14ac:dyDescent="0.3">
      <c r="B48" s="89" t="s">
        <v>115</v>
      </c>
      <c r="C48" s="34" t="s">
        <v>116</v>
      </c>
      <c r="D48" s="35" t="s">
        <v>77</v>
      </c>
      <c r="E48" s="526" t="s">
        <v>117</v>
      </c>
      <c r="F48" s="526"/>
      <c r="G48" s="526"/>
      <c r="H48" s="526"/>
      <c r="I48" s="527"/>
    </row>
    <row r="49" spans="2:10" ht="24.75" customHeight="1" x14ac:dyDescent="0.3"/>
    <row r="51" spans="2:10" ht="27" customHeight="1" x14ac:dyDescent="0.3"/>
    <row r="52" spans="2:10" x14ac:dyDescent="0.3">
      <c r="B52" s="79" t="s">
        <v>98</v>
      </c>
      <c r="C52" s="530" t="s">
        <v>104</v>
      </c>
      <c r="D52" s="530"/>
      <c r="E52" s="530" t="s">
        <v>139</v>
      </c>
      <c r="F52" s="530"/>
      <c r="G52" s="530" t="s">
        <v>143</v>
      </c>
      <c r="H52" s="530"/>
      <c r="I52" s="114"/>
    </row>
    <row r="53" spans="2:10" ht="39.75" customHeight="1" x14ac:dyDescent="0.3">
      <c r="B53" s="90" t="s">
        <v>136</v>
      </c>
      <c r="C53" s="508" t="s">
        <v>153</v>
      </c>
      <c r="D53" s="509"/>
      <c r="E53" s="512" t="s">
        <v>144</v>
      </c>
      <c r="F53" s="513"/>
      <c r="G53" s="516" t="s">
        <v>130</v>
      </c>
      <c r="H53" s="516"/>
      <c r="I53" s="115" t="s">
        <v>140</v>
      </c>
    </row>
    <row r="54" spans="2:10" ht="39.75" customHeight="1" x14ac:dyDescent="0.3">
      <c r="B54" s="90" t="s">
        <v>137</v>
      </c>
      <c r="C54" s="510" t="s">
        <v>153</v>
      </c>
      <c r="D54" s="511"/>
      <c r="E54" s="514" t="s">
        <v>145</v>
      </c>
      <c r="F54" s="515"/>
      <c r="G54" s="516" t="s">
        <v>130</v>
      </c>
      <c r="H54" s="516"/>
      <c r="I54" s="115" t="s">
        <v>141</v>
      </c>
    </row>
    <row r="55" spans="2:10" ht="39.75" customHeight="1" x14ac:dyDescent="0.3">
      <c r="B55" s="90" t="s">
        <v>138</v>
      </c>
      <c r="C55" s="522" t="s">
        <v>130</v>
      </c>
      <c r="D55" s="523"/>
      <c r="E55" s="524" t="s">
        <v>146</v>
      </c>
      <c r="F55" s="525"/>
      <c r="G55" s="516" t="s">
        <v>154</v>
      </c>
      <c r="H55" s="516"/>
      <c r="I55" s="115" t="s">
        <v>142</v>
      </c>
    </row>
    <row r="56" spans="2:10" ht="25.5" customHeight="1" x14ac:dyDescent="0.3">
      <c r="B56" s="517" t="s">
        <v>106</v>
      </c>
      <c r="C56" s="517"/>
      <c r="D56" s="517"/>
      <c r="E56" s="517"/>
      <c r="F56" s="517"/>
      <c r="G56" s="517"/>
      <c r="H56" s="517"/>
      <c r="I56" s="518"/>
    </row>
    <row r="57" spans="2:10" ht="61.5" customHeight="1" x14ac:dyDescent="0.3">
      <c r="B57" s="519" t="s">
        <v>110</v>
      </c>
      <c r="C57" s="520"/>
      <c r="D57" s="520"/>
      <c r="E57" s="520"/>
      <c r="F57" s="520"/>
      <c r="G57" s="520"/>
      <c r="H57" s="520"/>
      <c r="I57" s="521"/>
      <c r="J57" s="38"/>
    </row>
    <row r="58" spans="2:10" ht="24.75" customHeight="1" x14ac:dyDescent="0.3"/>
    <row r="72" spans="10:10" x14ac:dyDescent="0.3">
      <c r="J72" t="s">
        <v>169</v>
      </c>
    </row>
  </sheetData>
  <mergeCells count="59">
    <mergeCell ref="B6:C6"/>
    <mergeCell ref="D3:E3"/>
    <mergeCell ref="F3:G3"/>
    <mergeCell ref="H3:I3"/>
    <mergeCell ref="B5:C5"/>
    <mergeCell ref="B3:C4"/>
    <mergeCell ref="B18:C18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30:C30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E41:F41"/>
    <mergeCell ref="G41:I41"/>
    <mergeCell ref="E46:I46"/>
    <mergeCell ref="B31:C31"/>
    <mergeCell ref="B32:C32"/>
    <mergeCell ref="B33:C33"/>
    <mergeCell ref="B34:C34"/>
    <mergeCell ref="G38:I38"/>
    <mergeCell ref="E39:F39"/>
    <mergeCell ref="G39:I39"/>
    <mergeCell ref="E40:F40"/>
    <mergeCell ref="G40:I40"/>
    <mergeCell ref="E38:F38"/>
    <mergeCell ref="E48:I48"/>
    <mergeCell ref="E47:I47"/>
    <mergeCell ref="C52:D52"/>
    <mergeCell ref="E52:F52"/>
    <mergeCell ref="G52:H52"/>
    <mergeCell ref="B56:I56"/>
    <mergeCell ref="B57:I57"/>
    <mergeCell ref="C55:D55"/>
    <mergeCell ref="E55:F55"/>
    <mergeCell ref="G55:H55"/>
    <mergeCell ref="C53:D53"/>
    <mergeCell ref="C54:D54"/>
    <mergeCell ref="E53:F53"/>
    <mergeCell ref="E54:F54"/>
    <mergeCell ref="G53:H53"/>
    <mergeCell ref="G54:H54"/>
  </mergeCells>
  <phoneticPr fontId="1" type="noConversion"/>
  <conditionalFormatting sqref="D5:I34">
    <cfRule type="expression" dxfId="2" priority="1">
      <formula>D5=""</formula>
    </cfRule>
  </conditionalFormatting>
  <pageMargins left="0.7" right="0.7" top="0.75" bottom="0.75" header="0.3" footer="0.3"/>
  <pageSetup paperSize="9" orientation="portrait" horizontalDpi="0" verticalDpi="0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400-000000000000}">
          <x14:formula1>
            <xm:f>INDEX!$C$4:$C$18</xm:f>
          </x14:formula1>
          <xm:sqref>D3:I3</xm:sqref>
        </x14:dataValidation>
        <x14:dataValidation type="list" allowBlank="1" showInputMessage="1" showErrorMessage="1" xr:uid="{00000000-0002-0000-0400-000001000000}">
          <x14:formula1>
            <xm:f>_xlfn.ANCHORARRAY(INDEX!#REF!)</xm:f>
          </x14:formula1>
          <xm:sqref>B5:B34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3" tint="0.249977111117893"/>
  </sheetPr>
  <dimension ref="B2:M60"/>
  <sheetViews>
    <sheetView showGridLines="0" zoomScale="115" zoomScaleNormal="115" workbookViewId="0"/>
  </sheetViews>
  <sheetFormatPr defaultRowHeight="16.5" x14ac:dyDescent="0.3"/>
  <cols>
    <col min="1" max="1" width="2.625" customWidth="1"/>
    <col min="2" max="2" width="21.375" customWidth="1"/>
    <col min="3" max="3" width="10.75" customWidth="1"/>
    <col min="9" max="9" width="9" customWidth="1"/>
    <col min="10" max="10" width="2.625" customWidth="1"/>
    <col min="12" max="12" width="26.875" bestFit="1" customWidth="1"/>
  </cols>
  <sheetData>
    <row r="2" spans="2:13" ht="38.25" customHeight="1" x14ac:dyDescent="0.3">
      <c r="L2" s="42" t="str">
        <f ca="1">TEXT(TODAY(),"m월 d일 오늘의 특가")</f>
        <v>6월 25일 오늘의 특가</v>
      </c>
      <c r="M2" s="20" t="s">
        <v>93</v>
      </c>
    </row>
    <row r="3" spans="2:13" ht="19.5" customHeight="1" x14ac:dyDescent="0.3">
      <c r="B3" s="596" t="str">
        <f ca="1">TEXT(TODAY(),"m월 d일 오늘의 특가")</f>
        <v>6월 25일 오늘의 특가</v>
      </c>
      <c r="C3" s="597"/>
      <c r="D3" s="563" t="s">
        <v>62</v>
      </c>
      <c r="E3" s="564"/>
      <c r="F3" s="565" t="s">
        <v>92</v>
      </c>
      <c r="G3" s="564"/>
      <c r="H3" s="565" t="s">
        <v>26</v>
      </c>
      <c r="I3" s="566"/>
    </row>
    <row r="4" spans="2:13" ht="20.25" customHeight="1" x14ac:dyDescent="0.3">
      <c r="B4" s="598"/>
      <c r="C4" s="599"/>
      <c r="D4" s="43" t="s">
        <v>5</v>
      </c>
      <c r="E4" s="44" t="s">
        <v>7</v>
      </c>
      <c r="F4" s="44" t="s">
        <v>5</v>
      </c>
      <c r="G4" s="44" t="s">
        <v>7</v>
      </c>
      <c r="H4" s="44" t="s">
        <v>5</v>
      </c>
      <c r="I4" s="45" t="s">
        <v>7</v>
      </c>
    </row>
    <row r="5" spans="2:13" ht="20.25" customHeight="1" x14ac:dyDescent="0.3">
      <c r="B5" s="571" t="s">
        <v>121</v>
      </c>
      <c r="C5" s="572"/>
      <c r="D5" s="46"/>
      <c r="E5" s="47"/>
      <c r="F5" s="47"/>
      <c r="G5" s="47"/>
      <c r="H5" s="47"/>
      <c r="I5" s="48"/>
    </row>
    <row r="6" spans="2:13" ht="20.25" customHeight="1" x14ac:dyDescent="0.3">
      <c r="B6" s="569" t="s">
        <v>122</v>
      </c>
      <c r="C6" s="570"/>
      <c r="D6" s="49"/>
      <c r="E6" s="21"/>
      <c r="F6" s="21"/>
      <c r="G6" s="21"/>
      <c r="H6" s="21"/>
      <c r="I6" s="28"/>
    </row>
    <row r="7" spans="2:13" ht="20.25" customHeight="1" x14ac:dyDescent="0.3">
      <c r="B7" s="567" t="s">
        <v>40</v>
      </c>
      <c r="C7" s="568"/>
      <c r="D7" s="50"/>
      <c r="E7" s="25"/>
      <c r="F7" s="25"/>
      <c r="G7" s="25"/>
      <c r="H7" s="25"/>
      <c r="I7" s="29"/>
    </row>
    <row r="8" spans="2:13" ht="20.25" customHeight="1" x14ac:dyDescent="0.3">
      <c r="B8" s="569" t="s">
        <v>15</v>
      </c>
      <c r="C8" s="570"/>
      <c r="D8" s="49"/>
      <c r="E8" s="21"/>
      <c r="F8" s="21"/>
      <c r="G8" s="21"/>
      <c r="H8" s="21"/>
      <c r="I8" s="28"/>
    </row>
    <row r="9" spans="2:13" ht="20.25" customHeight="1" x14ac:dyDescent="0.3">
      <c r="B9" s="567" t="s">
        <v>16</v>
      </c>
      <c r="C9" s="568"/>
      <c r="D9" s="50"/>
      <c r="E9" s="25"/>
      <c r="F9" s="25"/>
      <c r="G9" s="25"/>
      <c r="H9" s="25"/>
      <c r="I9" s="29"/>
    </row>
    <row r="10" spans="2:13" ht="20.25" customHeight="1" x14ac:dyDescent="0.3">
      <c r="B10" s="569" t="s">
        <v>17</v>
      </c>
      <c r="C10" s="570"/>
      <c r="D10" s="49"/>
      <c r="E10" s="21"/>
      <c r="F10" s="21"/>
      <c r="G10" s="21"/>
      <c r="H10" s="21"/>
      <c r="I10" s="28"/>
    </row>
    <row r="11" spans="2:13" ht="20.25" customHeight="1" x14ac:dyDescent="0.3">
      <c r="B11" s="567" t="s">
        <v>30</v>
      </c>
      <c r="C11" s="568"/>
      <c r="D11" s="50"/>
      <c r="E11" s="25"/>
      <c r="F11" s="25"/>
      <c r="G11" s="25"/>
      <c r="H11" s="25"/>
      <c r="I11" s="29"/>
    </row>
    <row r="12" spans="2:13" ht="20.25" customHeight="1" x14ac:dyDescent="0.3">
      <c r="B12" s="569" t="s">
        <v>32</v>
      </c>
      <c r="C12" s="570"/>
      <c r="D12" s="49"/>
      <c r="E12" s="21"/>
      <c r="F12" s="21"/>
      <c r="G12" s="21"/>
      <c r="H12" s="21"/>
      <c r="I12" s="28"/>
    </row>
    <row r="13" spans="2:13" ht="20.25" customHeight="1" x14ac:dyDescent="0.3">
      <c r="B13" s="567" t="s">
        <v>34</v>
      </c>
      <c r="C13" s="568"/>
      <c r="D13" s="50"/>
      <c r="E13" s="25"/>
      <c r="F13" s="25"/>
      <c r="G13" s="25"/>
      <c r="H13" s="25"/>
      <c r="I13" s="29"/>
    </row>
    <row r="14" spans="2:13" ht="20.25" customHeight="1" x14ac:dyDescent="0.3">
      <c r="B14" s="569" t="s">
        <v>36</v>
      </c>
      <c r="C14" s="570"/>
      <c r="D14" s="49"/>
      <c r="E14" s="21"/>
      <c r="F14" s="21"/>
      <c r="G14" s="21"/>
      <c r="H14" s="21"/>
      <c r="I14" s="28"/>
    </row>
    <row r="15" spans="2:13" ht="20.25" customHeight="1" x14ac:dyDescent="0.3">
      <c r="B15" s="567" t="s">
        <v>20</v>
      </c>
      <c r="C15" s="568"/>
      <c r="D15" s="50"/>
      <c r="E15" s="25"/>
      <c r="F15" s="25"/>
      <c r="G15" s="25"/>
      <c r="H15" s="25"/>
      <c r="I15" s="29"/>
    </row>
    <row r="16" spans="2:13" ht="20.25" customHeight="1" x14ac:dyDescent="0.3">
      <c r="B16" s="569" t="s">
        <v>19</v>
      </c>
      <c r="C16" s="570"/>
      <c r="D16" s="49"/>
      <c r="E16" s="21"/>
      <c r="F16" s="21"/>
      <c r="G16" s="21"/>
      <c r="H16" s="21"/>
      <c r="I16" s="28"/>
    </row>
    <row r="17" spans="2:9" ht="20.25" customHeight="1" x14ac:dyDescent="0.3">
      <c r="B17" s="567" t="s">
        <v>21</v>
      </c>
      <c r="C17" s="568"/>
      <c r="D17" s="50"/>
      <c r="E17" s="25"/>
      <c r="F17" s="25"/>
      <c r="G17" s="25"/>
      <c r="H17" s="25"/>
      <c r="I17" s="29"/>
    </row>
    <row r="18" spans="2:9" ht="20.25" customHeight="1" x14ac:dyDescent="0.3">
      <c r="B18" s="569" t="s">
        <v>22</v>
      </c>
      <c r="C18" s="570"/>
      <c r="D18" s="49"/>
      <c r="E18" s="21"/>
      <c r="F18" s="21"/>
      <c r="G18" s="21"/>
      <c r="H18" s="21"/>
      <c r="I18" s="28"/>
    </row>
    <row r="19" spans="2:9" ht="20.25" customHeight="1" x14ac:dyDescent="0.3">
      <c r="B19" s="567" t="s">
        <v>23</v>
      </c>
      <c r="C19" s="568"/>
      <c r="D19" s="50"/>
      <c r="E19" s="25"/>
      <c r="F19" s="25"/>
      <c r="G19" s="25"/>
      <c r="H19" s="25"/>
      <c r="I19" s="29"/>
    </row>
    <row r="20" spans="2:9" ht="20.25" customHeight="1" x14ac:dyDescent="0.3">
      <c r="B20" s="569" t="s">
        <v>24</v>
      </c>
      <c r="C20" s="570"/>
      <c r="D20" s="49"/>
      <c r="E20" s="21"/>
      <c r="F20" s="21"/>
      <c r="G20" s="21"/>
      <c r="H20" s="21"/>
      <c r="I20" s="28"/>
    </row>
    <row r="21" spans="2:9" ht="20.25" customHeight="1" x14ac:dyDescent="0.3">
      <c r="B21" s="567" t="s">
        <v>25</v>
      </c>
      <c r="C21" s="568"/>
      <c r="D21" s="50"/>
      <c r="E21" s="25"/>
      <c r="F21" s="25"/>
      <c r="G21" s="25"/>
      <c r="H21" s="25"/>
      <c r="I21" s="29"/>
    </row>
    <row r="22" spans="2:9" ht="20.25" customHeight="1" x14ac:dyDescent="0.3">
      <c r="B22" s="567" t="s">
        <v>27</v>
      </c>
      <c r="C22" s="568"/>
      <c r="D22" s="50"/>
      <c r="E22" s="25"/>
      <c r="F22" s="25"/>
      <c r="G22" s="25"/>
      <c r="H22" s="25"/>
      <c r="I22" s="29"/>
    </row>
    <row r="23" spans="2:9" ht="20.25" customHeight="1" x14ac:dyDescent="0.3">
      <c r="B23" s="569" t="s">
        <v>28</v>
      </c>
      <c r="C23" s="570"/>
      <c r="D23" s="49"/>
      <c r="E23" s="21"/>
      <c r="F23" s="21"/>
      <c r="G23" s="21"/>
      <c r="H23" s="21"/>
      <c r="I23" s="28"/>
    </row>
    <row r="24" spans="2:9" ht="20.25" customHeight="1" x14ac:dyDescent="0.3">
      <c r="B24" s="567" t="s">
        <v>29</v>
      </c>
      <c r="C24" s="568"/>
      <c r="D24" s="50"/>
      <c r="E24" s="25"/>
      <c r="F24" s="25"/>
      <c r="G24" s="25"/>
      <c r="H24" s="25"/>
      <c r="I24" s="29"/>
    </row>
    <row r="25" spans="2:9" ht="20.25" hidden="1" customHeight="1" x14ac:dyDescent="0.3">
      <c r="B25" s="569"/>
      <c r="C25" s="570"/>
      <c r="D25" s="49" t="str" cm="1">
        <f t="array" ref="D25">IFERROR(INDEX(KT번이구매가,MATCH(1,(KT요금제=$D$3)*(KT모델명=$B25),0)),"")</f>
        <v/>
      </c>
      <c r="E25" s="21" t="str" cm="1">
        <f t="array" ref="E25">IFERROR(INDEX(KT기변구매가,MATCH(1,(KT요금제=$D$3)*(KT모델명=$B25),0)),"")</f>
        <v/>
      </c>
      <c r="F25" s="21" t="str" cm="1">
        <f t="array" ref="F25">IFERROR(INDEX(KT번이구매가,MATCH(1,(KT요금제=$F$3)*(KT모델명=$B25),0)),"")</f>
        <v/>
      </c>
      <c r="G25" s="21" t="str" cm="1">
        <f t="array" ref="G25">IFERROR(INDEX(KT기변구매가,MATCH(1,(KT요금제=$F$3)*(KT모델명=$B25),0)),"")</f>
        <v/>
      </c>
      <c r="H25" s="21" t="str" cm="1">
        <f t="array" ref="H25">IFERROR(INDEX(KT번이구매가,MATCH(1,(KT요금제=$H$3)*(KT모델명=$B25),0)),"")</f>
        <v/>
      </c>
      <c r="I25" s="28" t="str" cm="1">
        <f t="array" ref="I25">IFERROR(INDEX(KT기변구매가,MATCH(1,(KT요금제=$H$3)*(KT모델명=$B25),0)),"")</f>
        <v/>
      </c>
    </row>
    <row r="26" spans="2:9" ht="20.25" hidden="1" customHeight="1" x14ac:dyDescent="0.3">
      <c r="B26" s="567"/>
      <c r="C26" s="568"/>
      <c r="D26" s="50" t="str" cm="1">
        <f t="array" ref="D26">IFERROR(INDEX(KT번이구매가,MATCH(1,(KT요금제=$D$3)*(KT모델명=$B26),0)),"")</f>
        <v/>
      </c>
      <c r="E26" s="25" t="str" cm="1">
        <f t="array" ref="E26">IFERROR(INDEX(KT기변구매가,MATCH(1,(KT요금제=$D$3)*(KT모델명=$B26),0)),"")</f>
        <v/>
      </c>
      <c r="F26" s="25" t="str" cm="1">
        <f t="array" ref="F26">IFERROR(INDEX(KT번이구매가,MATCH(1,(KT요금제=$F$3)*(KT모델명=$B26),0)),"")</f>
        <v/>
      </c>
      <c r="G26" s="25" t="str" cm="1">
        <f t="array" ref="G26">IFERROR(INDEX(KT기변구매가,MATCH(1,(KT요금제=$F$3)*(KT모델명=$B26),0)),"")</f>
        <v/>
      </c>
      <c r="H26" s="25" t="str" cm="1">
        <f t="array" ref="H26">IFERROR(INDEX(KT번이구매가,MATCH(1,(KT요금제=$H$3)*(KT모델명=$B26),0)),"")</f>
        <v/>
      </c>
      <c r="I26" s="29" t="str" cm="1">
        <f t="array" ref="I26">IFERROR(INDEX(KT기변구매가,MATCH(1,(KT요금제=$H$3)*(KT모델명=$B26),0)),"")</f>
        <v/>
      </c>
    </row>
    <row r="27" spans="2:9" ht="20.25" hidden="1" customHeight="1" x14ac:dyDescent="0.3">
      <c r="B27" s="569"/>
      <c r="C27" s="570"/>
      <c r="D27" s="49" t="str" cm="1">
        <f t="array" ref="D27">IFERROR(INDEX(KT번이구매가,MATCH(1,(KT요금제=$D$3)*(KT모델명=$B27),0)),"")</f>
        <v/>
      </c>
      <c r="E27" s="21" t="str" cm="1">
        <f t="array" ref="E27">IFERROR(INDEX(KT기변구매가,MATCH(1,(KT요금제=$D$3)*(KT모델명=$B27),0)),"")</f>
        <v/>
      </c>
      <c r="F27" s="21" t="str" cm="1">
        <f t="array" ref="F27">IFERROR(INDEX(KT번이구매가,MATCH(1,(KT요금제=$F$3)*(KT모델명=$B27),0)),"")</f>
        <v/>
      </c>
      <c r="G27" s="21" t="str" cm="1">
        <f t="array" ref="G27">IFERROR(INDEX(KT기변구매가,MATCH(1,(KT요금제=$F$3)*(KT모델명=$B27),0)),"")</f>
        <v/>
      </c>
      <c r="H27" s="21" t="str" cm="1">
        <f t="array" ref="H27">IFERROR(INDEX(KT번이구매가,MATCH(1,(KT요금제=$H$3)*(KT모델명=$B27),0)),"")</f>
        <v/>
      </c>
      <c r="I27" s="28" t="str" cm="1">
        <f t="array" ref="I27">IFERROR(INDEX(KT기변구매가,MATCH(1,(KT요금제=$H$3)*(KT모델명=$B27),0)),"")</f>
        <v/>
      </c>
    </row>
    <row r="28" spans="2:9" ht="20.25" hidden="1" customHeight="1" x14ac:dyDescent="0.3">
      <c r="B28" s="567"/>
      <c r="C28" s="568"/>
      <c r="D28" s="50" t="str" cm="1">
        <f t="array" ref="D28">IFERROR(INDEX(KT번이구매가,MATCH(1,(KT요금제=$D$3)*(KT모델명=$B28),0)),"")</f>
        <v/>
      </c>
      <c r="E28" s="25" t="str" cm="1">
        <f t="array" ref="E28">IFERROR(INDEX(KT기변구매가,MATCH(1,(KT요금제=$D$3)*(KT모델명=$B28),0)),"")</f>
        <v/>
      </c>
      <c r="F28" s="25" t="str" cm="1">
        <f t="array" ref="F28">IFERROR(INDEX(KT번이구매가,MATCH(1,(KT요금제=$F$3)*(KT모델명=$B28),0)),"")</f>
        <v/>
      </c>
      <c r="G28" s="25" t="str" cm="1">
        <f t="array" ref="G28">IFERROR(INDEX(KT기변구매가,MATCH(1,(KT요금제=$F$3)*(KT모델명=$B28),0)),"")</f>
        <v/>
      </c>
      <c r="H28" s="25" t="str" cm="1">
        <f t="array" ref="H28">IFERROR(INDEX(KT번이구매가,MATCH(1,(KT요금제=$H$3)*(KT모델명=$B28),0)),"")</f>
        <v/>
      </c>
      <c r="I28" s="29" t="str" cm="1">
        <f t="array" ref="I28">IFERROR(INDEX(KT기변구매가,MATCH(1,(KT요금제=$H$3)*(KT모델명=$B28),0)),"")</f>
        <v/>
      </c>
    </row>
    <row r="29" spans="2:9" ht="20.25" hidden="1" customHeight="1" x14ac:dyDescent="0.3">
      <c r="B29" s="569"/>
      <c r="C29" s="570"/>
      <c r="D29" s="49" t="str" cm="1">
        <f t="array" ref="D29">IFERROR(INDEX(KT번이구매가,MATCH(1,(KT요금제=$D$3)*(KT모델명=$B29),0)),"")</f>
        <v/>
      </c>
      <c r="E29" s="21" t="str" cm="1">
        <f t="array" ref="E29">IFERROR(INDEX(KT기변구매가,MATCH(1,(KT요금제=$D$3)*(KT모델명=$B29),0)),"")</f>
        <v/>
      </c>
      <c r="F29" s="21" t="str" cm="1">
        <f t="array" ref="F29">IFERROR(INDEX(KT번이구매가,MATCH(1,(KT요금제=$F$3)*(KT모델명=$B29),0)),"")</f>
        <v/>
      </c>
      <c r="G29" s="21" t="str" cm="1">
        <f t="array" ref="G29">IFERROR(INDEX(KT기변구매가,MATCH(1,(KT요금제=$F$3)*(KT모델명=$B29),0)),"")</f>
        <v/>
      </c>
      <c r="H29" s="21" t="str" cm="1">
        <f t="array" ref="H29">IFERROR(INDEX(KT번이구매가,MATCH(1,(KT요금제=$H$3)*(KT모델명=$B29),0)),"")</f>
        <v/>
      </c>
      <c r="I29" s="28" t="str" cm="1">
        <f t="array" ref="I29">IFERROR(INDEX(KT기변구매가,MATCH(1,(KT요금제=$H$3)*(KT모델명=$B29),0)),"")</f>
        <v/>
      </c>
    </row>
    <row r="30" spans="2:9" ht="20.25" hidden="1" customHeight="1" x14ac:dyDescent="0.3">
      <c r="B30" s="567"/>
      <c r="C30" s="568"/>
      <c r="D30" s="50" t="str" cm="1">
        <f t="array" ref="D30">IFERROR(INDEX(KT번이구매가,MATCH(1,(KT요금제=$D$3)*(KT모델명=$B30),0)),"")</f>
        <v/>
      </c>
      <c r="E30" s="25" t="str" cm="1">
        <f t="array" ref="E30">IFERROR(INDEX(KT기변구매가,MATCH(1,(KT요금제=$D$3)*(KT모델명=$B30),0)),"")</f>
        <v/>
      </c>
      <c r="F30" s="25" t="str" cm="1">
        <f t="array" ref="F30">IFERROR(INDEX(KT번이구매가,MATCH(1,(KT요금제=$F$3)*(KT모델명=$B30),0)),"")</f>
        <v/>
      </c>
      <c r="G30" s="25" t="str" cm="1">
        <f t="array" ref="G30">IFERROR(INDEX(KT기변구매가,MATCH(1,(KT요금제=$F$3)*(KT모델명=$B30),0)),"")</f>
        <v/>
      </c>
      <c r="H30" s="25" t="str" cm="1">
        <f t="array" ref="H30">IFERROR(INDEX(KT번이구매가,MATCH(1,(KT요금제=$H$3)*(KT모델명=$B30),0)),"")</f>
        <v/>
      </c>
      <c r="I30" s="29" t="str" cm="1">
        <f t="array" ref="I30">IFERROR(INDEX(KT기변구매가,MATCH(1,(KT요금제=$H$3)*(KT모델명=$B30),0)),"")</f>
        <v/>
      </c>
    </row>
    <row r="31" spans="2:9" ht="20.25" hidden="1" customHeight="1" x14ac:dyDescent="0.3">
      <c r="B31" s="569"/>
      <c r="C31" s="570"/>
      <c r="D31" s="49" t="str" cm="1">
        <f t="array" ref="D31">IFERROR(INDEX(KT번이구매가,MATCH(1,(KT요금제=$D$3)*(KT모델명=$B31),0)),"")</f>
        <v/>
      </c>
      <c r="E31" s="21" t="str" cm="1">
        <f t="array" ref="E31">IFERROR(INDEX(KT기변구매가,MATCH(1,(KT요금제=$D$3)*(KT모델명=$B31),0)),"")</f>
        <v/>
      </c>
      <c r="F31" s="21" t="str" cm="1">
        <f t="array" ref="F31">IFERROR(INDEX(KT번이구매가,MATCH(1,(KT요금제=$F$3)*(KT모델명=$B31),0)),"")</f>
        <v/>
      </c>
      <c r="G31" s="21" t="str" cm="1">
        <f t="array" ref="G31">IFERROR(INDEX(KT기변구매가,MATCH(1,(KT요금제=$F$3)*(KT모델명=$B31),0)),"")</f>
        <v/>
      </c>
      <c r="H31" s="21" t="str" cm="1">
        <f t="array" ref="H31">IFERROR(INDEX(KT번이구매가,MATCH(1,(KT요금제=$H$3)*(KT모델명=$B31),0)),"")</f>
        <v/>
      </c>
      <c r="I31" s="28" t="str" cm="1">
        <f t="array" ref="I31">IFERROR(INDEX(KT기변구매가,MATCH(1,(KT요금제=$H$3)*(KT모델명=$B31),0)),"")</f>
        <v/>
      </c>
    </row>
    <row r="32" spans="2:9" ht="20.25" hidden="1" customHeight="1" x14ac:dyDescent="0.3">
      <c r="B32" s="567"/>
      <c r="C32" s="568"/>
      <c r="D32" s="50" t="str" cm="1">
        <f t="array" ref="D32">IFERROR(INDEX(KT번이구매가,MATCH(1,(KT요금제=$D$3)*(KT모델명=$B32),0)),"")</f>
        <v/>
      </c>
      <c r="E32" s="25" t="str" cm="1">
        <f t="array" ref="E32">IFERROR(INDEX(KT기변구매가,MATCH(1,(KT요금제=$D$3)*(KT모델명=$B32),0)),"")</f>
        <v/>
      </c>
      <c r="F32" s="25" t="str" cm="1">
        <f t="array" ref="F32">IFERROR(INDEX(KT번이구매가,MATCH(1,(KT요금제=$F$3)*(KT모델명=$B32),0)),"")</f>
        <v/>
      </c>
      <c r="G32" s="25" t="str" cm="1">
        <f t="array" ref="G32">IFERROR(INDEX(KT기변구매가,MATCH(1,(KT요금제=$F$3)*(KT모델명=$B32),0)),"")</f>
        <v/>
      </c>
      <c r="H32" s="25" t="str" cm="1">
        <f t="array" ref="H32">IFERROR(INDEX(KT번이구매가,MATCH(1,(KT요금제=$H$3)*(KT모델명=$B32),0)),"")</f>
        <v/>
      </c>
      <c r="I32" s="29" t="str" cm="1">
        <f t="array" ref="I32">IFERROR(INDEX(KT기변구매가,MATCH(1,(KT요금제=$H$3)*(KT모델명=$B32),0)),"")</f>
        <v/>
      </c>
    </row>
    <row r="33" spans="2:9" ht="20.25" hidden="1" customHeight="1" x14ac:dyDescent="0.3">
      <c r="B33" s="594"/>
      <c r="C33" s="595"/>
      <c r="D33" s="51" t="str" cm="1">
        <f t="array" ref="D33">IFERROR(INDEX(KT번이구매가,MATCH(1,(KT요금제=$D$3)*(KT모델명=$B33),0)),"")</f>
        <v/>
      </c>
      <c r="E33" s="30" t="str" cm="1">
        <f t="array" ref="E33">IFERROR(INDEX(KT기변구매가,MATCH(1,(KT요금제=$D$3)*(KT모델명=$B33),0)),"")</f>
        <v/>
      </c>
      <c r="F33" s="30" t="str" cm="1">
        <f t="array" ref="F33">IFERROR(INDEX(KT번이구매가,MATCH(1,(KT요금제=$F$3)*(KT모델명=$B33),0)),"")</f>
        <v/>
      </c>
      <c r="G33" s="30" t="str" cm="1">
        <f t="array" ref="G33">IFERROR(INDEX(KT기변구매가,MATCH(1,(KT요금제=$F$3)*(KT모델명=$B33),0)),"")</f>
        <v/>
      </c>
      <c r="H33" s="30" t="str" cm="1">
        <f t="array" ref="H33">IFERROR(INDEX(KT번이구매가,MATCH(1,(KT요금제=$H$3)*(KT모델명=$B33),0)),"")</f>
        <v/>
      </c>
      <c r="I33" s="31" t="str" cm="1">
        <f t="array" ref="I33">IFERROR(INDEX(KT기변구매가,MATCH(1,(KT요금제=$H$3)*(KT모델명=$B33),0)),"")</f>
        <v/>
      </c>
    </row>
    <row r="34" spans="2:9" ht="24.75" customHeight="1" x14ac:dyDescent="0.3"/>
    <row r="35" spans="2:9" ht="14.25" customHeight="1" x14ac:dyDescent="0.3"/>
    <row r="36" spans="2:9" ht="27.75" customHeight="1" x14ac:dyDescent="0.3">
      <c r="B36" t="str" cm="1">
        <f t="array" ref="B36">IFERROR(INDEX(SKT번이구매가,MATCH(1,(SKT요금제=$B$5)*(SKT모델명=#REF!),0)),"")</f>
        <v/>
      </c>
      <c r="D36" t="str" cm="1">
        <f t="array" ref="D36">IFERROR(INDEX(SKT기변구매가,MATCH(1,(SKT요금제=$B$5)*(SKT모델명=#REF!),0)),"")</f>
        <v/>
      </c>
      <c r="E36" t="str" cm="1">
        <f t="array" ref="E36">IFERROR(INDEX(KT번이구매가,MATCH(1,(KT요금제=$E$5)*(KT모델명=#REF!),0)),"")</f>
        <v/>
      </c>
      <c r="F36" t="str" cm="1">
        <f t="array" ref="F36">IFERROR(INDEX(KT기변구매가,MATCH(1,(KT요금제=$E$5)*(KT모델명=#REF!),0)),"")</f>
        <v/>
      </c>
      <c r="G36" t="str" cm="1">
        <f t="array" ref="G36">IFERROR(INDEX(LG번이구매가,MATCH(1,(LG요금제=$G$5)*(LG모델명=#REF!),0)),"")</f>
        <v/>
      </c>
      <c r="H36" t="str" cm="1">
        <f t="array" ref="H36">IFERROR(INDEX(LG기변구매가,MATCH(1,(LG요금제=$G$5)*(LG모델명=#REF!),0)),"")</f>
        <v/>
      </c>
    </row>
    <row r="37" spans="2:9" x14ac:dyDescent="0.3">
      <c r="B37" s="60" t="s">
        <v>3</v>
      </c>
      <c r="C37" s="61" t="s">
        <v>66</v>
      </c>
      <c r="D37" s="61" t="s">
        <v>64</v>
      </c>
      <c r="E37" s="580" t="s">
        <v>67</v>
      </c>
      <c r="F37" s="591"/>
      <c r="G37" s="580" t="s">
        <v>65</v>
      </c>
      <c r="H37" s="581"/>
      <c r="I37" s="582"/>
    </row>
    <row r="38" spans="2:9" ht="42" customHeight="1" x14ac:dyDescent="0.3">
      <c r="B38" s="57" t="s">
        <v>72</v>
      </c>
      <c r="C38" s="58">
        <v>110000</v>
      </c>
      <c r="D38" s="59" t="s">
        <v>70</v>
      </c>
      <c r="E38" s="583" t="s">
        <v>94</v>
      </c>
      <c r="F38" s="592"/>
      <c r="G38" s="583" t="s">
        <v>68</v>
      </c>
      <c r="H38" s="584"/>
      <c r="I38" s="585"/>
    </row>
    <row r="39" spans="2:9" ht="42" customHeight="1" x14ac:dyDescent="0.3">
      <c r="B39" s="53" t="s">
        <v>73</v>
      </c>
      <c r="C39" s="32">
        <v>90000</v>
      </c>
      <c r="D39" s="33" t="s">
        <v>70</v>
      </c>
      <c r="E39" s="549" t="s">
        <v>94</v>
      </c>
      <c r="F39" s="550"/>
      <c r="G39" s="549" t="s">
        <v>68</v>
      </c>
      <c r="H39" s="551"/>
      <c r="I39" s="586"/>
    </row>
    <row r="40" spans="2:9" ht="42" customHeight="1" x14ac:dyDescent="0.3">
      <c r="B40" s="54" t="s">
        <v>74</v>
      </c>
      <c r="C40" s="55">
        <v>69000</v>
      </c>
      <c r="D40" s="56" t="s">
        <v>70</v>
      </c>
      <c r="E40" s="587" t="s">
        <v>95</v>
      </c>
      <c r="F40" s="590"/>
      <c r="G40" s="587" t="s">
        <v>75</v>
      </c>
      <c r="H40" s="588"/>
      <c r="I40" s="589"/>
    </row>
    <row r="41" spans="2:9" ht="23.25" customHeight="1" x14ac:dyDescent="0.3">
      <c r="B41" s="24"/>
      <c r="C41" s="24"/>
      <c r="D41" s="1"/>
      <c r="E41" s="1"/>
      <c r="F41" s="1"/>
      <c r="G41" s="1"/>
      <c r="H41" s="1"/>
    </row>
    <row r="42" spans="2:9" ht="14.25" customHeight="1" x14ac:dyDescent="0.3"/>
    <row r="43" spans="2:9" ht="11.25" customHeight="1" x14ac:dyDescent="0.3"/>
    <row r="45" spans="2:9" x14ac:dyDescent="0.3">
      <c r="B45" s="71" t="s">
        <v>3</v>
      </c>
      <c r="C45" s="61" t="s">
        <v>66</v>
      </c>
      <c r="D45" s="61" t="s">
        <v>64</v>
      </c>
      <c r="E45" s="575" t="s">
        <v>65</v>
      </c>
      <c r="F45" s="575"/>
      <c r="G45" s="575"/>
      <c r="H45" s="575"/>
      <c r="I45" s="576"/>
    </row>
    <row r="46" spans="2:9" ht="34.5" customHeight="1" x14ac:dyDescent="0.3">
      <c r="B46" s="68" t="s">
        <v>82</v>
      </c>
      <c r="C46" s="69">
        <v>9900</v>
      </c>
      <c r="D46" s="70" t="s">
        <v>81</v>
      </c>
      <c r="E46" s="577" t="s">
        <v>96</v>
      </c>
      <c r="F46" s="577"/>
      <c r="G46" s="577"/>
      <c r="H46" s="577"/>
      <c r="I46" s="578"/>
    </row>
    <row r="47" spans="2:9" ht="34.5" customHeight="1" x14ac:dyDescent="0.3">
      <c r="B47" s="63" t="s">
        <v>83</v>
      </c>
      <c r="C47" s="34">
        <v>9900</v>
      </c>
      <c r="D47" s="35" t="s">
        <v>80</v>
      </c>
      <c r="E47" s="526" t="s">
        <v>96</v>
      </c>
      <c r="F47" s="526"/>
      <c r="G47" s="526"/>
      <c r="H47" s="526"/>
      <c r="I47" s="579"/>
    </row>
    <row r="48" spans="2:9" ht="34.5" customHeight="1" x14ac:dyDescent="0.3">
      <c r="B48" s="62" t="s">
        <v>84</v>
      </c>
      <c r="C48" s="36">
        <v>9900</v>
      </c>
      <c r="D48" s="37" t="s">
        <v>80</v>
      </c>
      <c r="E48" s="528" t="s">
        <v>97</v>
      </c>
      <c r="F48" s="528"/>
      <c r="G48" s="528"/>
      <c r="H48" s="528"/>
      <c r="I48" s="593"/>
    </row>
    <row r="49" spans="2:12" ht="34.5" customHeight="1" x14ac:dyDescent="0.3">
      <c r="B49" s="64" t="s">
        <v>85</v>
      </c>
      <c r="C49" s="34">
        <v>6900</v>
      </c>
      <c r="D49" s="35" t="s">
        <v>80</v>
      </c>
      <c r="E49" s="526" t="s">
        <v>86</v>
      </c>
      <c r="F49" s="526"/>
      <c r="G49" s="526"/>
      <c r="H49" s="526"/>
      <c r="I49" s="579"/>
    </row>
    <row r="50" spans="2:12" ht="34.5" customHeight="1" x14ac:dyDescent="0.3">
      <c r="B50" s="65" t="s">
        <v>87</v>
      </c>
      <c r="C50" s="66" t="s">
        <v>88</v>
      </c>
      <c r="D50" s="67" t="s">
        <v>89</v>
      </c>
      <c r="E50" s="573" t="s">
        <v>90</v>
      </c>
      <c r="F50" s="573"/>
      <c r="G50" s="573"/>
      <c r="H50" s="573"/>
      <c r="I50" s="574"/>
    </row>
    <row r="51" spans="2:12" ht="24.75" customHeight="1" x14ac:dyDescent="0.3"/>
    <row r="53" spans="2:12" ht="27" customHeight="1" x14ac:dyDescent="0.3"/>
    <row r="54" spans="2:12" x14ac:dyDescent="0.3">
      <c r="B54" s="60" t="s">
        <v>98</v>
      </c>
      <c r="C54" s="77" t="s">
        <v>99</v>
      </c>
      <c r="D54" s="580" t="s">
        <v>104</v>
      </c>
      <c r="E54" s="591"/>
      <c r="F54" s="580" t="s">
        <v>103</v>
      </c>
      <c r="G54" s="591"/>
      <c r="H54" s="580" t="s">
        <v>100</v>
      </c>
      <c r="I54" s="582"/>
      <c r="L54" t="s">
        <v>168</v>
      </c>
    </row>
    <row r="55" spans="2:12" ht="39.75" customHeight="1" x14ac:dyDescent="0.3">
      <c r="B55" s="75" t="s">
        <v>107</v>
      </c>
      <c r="C55" s="76" t="s">
        <v>101</v>
      </c>
      <c r="D55" s="608" t="s">
        <v>147</v>
      </c>
      <c r="E55" s="609"/>
      <c r="F55" s="608" t="s">
        <v>152</v>
      </c>
      <c r="G55" s="609"/>
      <c r="H55" s="612">
        <v>58850</v>
      </c>
      <c r="I55" s="613"/>
    </row>
    <row r="56" spans="2:12" ht="39.75" customHeight="1" x14ac:dyDescent="0.3">
      <c r="B56" s="72" t="s">
        <v>108</v>
      </c>
      <c r="C56" s="39" t="s">
        <v>166</v>
      </c>
      <c r="D56" s="510" t="s">
        <v>148</v>
      </c>
      <c r="E56" s="515"/>
      <c r="F56" s="510" t="s">
        <v>105</v>
      </c>
      <c r="G56" s="515"/>
      <c r="H56" s="614">
        <v>54450</v>
      </c>
      <c r="I56" s="615"/>
    </row>
    <row r="57" spans="2:12" ht="39.75" customHeight="1" x14ac:dyDescent="0.3">
      <c r="B57" s="73" t="s">
        <v>149</v>
      </c>
      <c r="C57" s="74" t="s">
        <v>150</v>
      </c>
      <c r="D57" s="606" t="s">
        <v>151</v>
      </c>
      <c r="E57" s="607"/>
      <c r="F57" s="606" t="s">
        <v>151</v>
      </c>
      <c r="G57" s="607"/>
      <c r="H57" s="610">
        <v>50050</v>
      </c>
      <c r="I57" s="611"/>
      <c r="K57" t="s">
        <v>102</v>
      </c>
    </row>
    <row r="58" spans="2:12" ht="25.5" customHeight="1" x14ac:dyDescent="0.3">
      <c r="B58" s="603" t="s">
        <v>106</v>
      </c>
      <c r="C58" s="604"/>
      <c r="D58" s="604"/>
      <c r="E58" s="604"/>
      <c r="F58" s="604"/>
      <c r="G58" s="604"/>
      <c r="H58" s="604"/>
      <c r="I58" s="605"/>
    </row>
    <row r="59" spans="2:12" ht="75" customHeight="1" x14ac:dyDescent="0.3">
      <c r="B59" s="600" t="s">
        <v>109</v>
      </c>
      <c r="C59" s="601"/>
      <c r="D59" s="601"/>
      <c r="E59" s="601"/>
      <c r="F59" s="601"/>
      <c r="G59" s="601"/>
      <c r="H59" s="601"/>
      <c r="I59" s="602"/>
      <c r="J59" s="38"/>
    </row>
    <row r="60" spans="2:12" ht="24.75" customHeight="1" x14ac:dyDescent="0.3"/>
  </sheetData>
  <mergeCells count="61">
    <mergeCell ref="B3:C4"/>
    <mergeCell ref="B59:I59"/>
    <mergeCell ref="B58:I58"/>
    <mergeCell ref="F57:G57"/>
    <mergeCell ref="F54:G54"/>
    <mergeCell ref="D55:E55"/>
    <mergeCell ref="F55:G55"/>
    <mergeCell ref="F56:G56"/>
    <mergeCell ref="D56:E56"/>
    <mergeCell ref="D57:E57"/>
    <mergeCell ref="D54:E54"/>
    <mergeCell ref="H57:I57"/>
    <mergeCell ref="H54:I54"/>
    <mergeCell ref="H55:I55"/>
    <mergeCell ref="H56:I56"/>
    <mergeCell ref="B21:C21"/>
    <mergeCell ref="B18:C18"/>
    <mergeCell ref="B19:C19"/>
    <mergeCell ref="B20:C20"/>
    <mergeCell ref="B33:C33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E50:I50"/>
    <mergeCell ref="E45:I45"/>
    <mergeCell ref="E46:I46"/>
    <mergeCell ref="E47:I47"/>
    <mergeCell ref="G37:I37"/>
    <mergeCell ref="G38:I38"/>
    <mergeCell ref="G39:I39"/>
    <mergeCell ref="G40:I40"/>
    <mergeCell ref="E40:F40"/>
    <mergeCell ref="E37:F37"/>
    <mergeCell ref="E38:F38"/>
    <mergeCell ref="E39:F39"/>
    <mergeCell ref="E48:I48"/>
    <mergeCell ref="E49:I49"/>
    <mergeCell ref="D3:E3"/>
    <mergeCell ref="F3:G3"/>
    <mergeCell ref="H3:I3"/>
    <mergeCell ref="B17:C17"/>
    <mergeCell ref="B11:C11"/>
    <mergeCell ref="B6:C6"/>
    <mergeCell ref="B7:C7"/>
    <mergeCell ref="B8:C8"/>
    <mergeCell ref="B9:C9"/>
    <mergeCell ref="B10:C10"/>
    <mergeCell ref="B5:C5"/>
    <mergeCell ref="B13:C13"/>
    <mergeCell ref="B12:C12"/>
    <mergeCell ref="B14:C14"/>
    <mergeCell ref="B15:C15"/>
    <mergeCell ref="B16:C16"/>
  </mergeCells>
  <phoneticPr fontId="1" type="noConversion"/>
  <conditionalFormatting sqref="D5:I33">
    <cfRule type="expression" dxfId="1" priority="1">
      <formula>D5=""</formula>
    </cfRule>
  </conditionalFormatting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500-000000000000}">
          <x14:formula1>
            <xm:f>INDEX!$B$4:$B$50</xm:f>
          </x14:formula1>
          <xm:sqref>D3:I3</xm:sqref>
        </x14:dataValidation>
        <x14:dataValidation type="list" allowBlank="1" showInputMessage="1" showErrorMessage="1" xr:uid="{00000000-0002-0000-0500-000001000000}">
          <x14:formula1>
            <xm:f>_xlfn.ANCHORARRAY(INDEX!#REF!)</xm:f>
          </x14:formula1>
          <xm:sqref>B5:B33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8" tint="0.59999389629810485"/>
  </sheetPr>
  <dimension ref="B2:N65"/>
  <sheetViews>
    <sheetView showGridLines="0" topLeftCell="A7" zoomScale="145" zoomScaleNormal="145" workbookViewId="0"/>
  </sheetViews>
  <sheetFormatPr defaultRowHeight="16.5" x14ac:dyDescent="0.3"/>
  <cols>
    <col min="1" max="1" width="2.625" customWidth="1"/>
    <col min="2" max="2" width="22.75" customWidth="1"/>
    <col min="3" max="3" width="10.75" customWidth="1"/>
    <col min="4" max="7" width="12.625" customWidth="1"/>
    <col min="8" max="8" width="2.625" customWidth="1"/>
    <col min="10" max="10" width="26.875" bestFit="1" customWidth="1"/>
  </cols>
  <sheetData>
    <row r="2" spans="2:11" ht="38.25" customHeight="1" x14ac:dyDescent="0.3">
      <c r="J2" s="42" t="str">
        <f ca="1">TEXT(TODAY(),"m월 d일 오늘의 특가")</f>
        <v>6월 25일 오늘의 특가</v>
      </c>
      <c r="K2" t="s">
        <v>93</v>
      </c>
    </row>
    <row r="3" spans="2:11" ht="19.5" customHeight="1" x14ac:dyDescent="0.3">
      <c r="B3" s="628" t="str">
        <f ca="1">TEXT(TODAY(),"m월 d일 오늘의 특가")</f>
        <v>6월 25일 오늘의 특가</v>
      </c>
      <c r="C3" s="629"/>
      <c r="D3" s="624" t="s">
        <v>57</v>
      </c>
      <c r="E3" s="624"/>
      <c r="F3" s="624" t="s">
        <v>48</v>
      </c>
      <c r="G3" s="625"/>
    </row>
    <row r="4" spans="2:11" ht="20.25" customHeight="1" x14ac:dyDescent="0.3">
      <c r="B4" s="630"/>
      <c r="C4" s="631"/>
      <c r="D4" s="40" t="s">
        <v>5</v>
      </c>
      <c r="E4" s="41" t="s">
        <v>7</v>
      </c>
      <c r="F4" s="41" t="s">
        <v>5</v>
      </c>
      <c r="G4" s="102" t="s">
        <v>7</v>
      </c>
    </row>
    <row r="5" spans="2:11" ht="20.25" customHeight="1" x14ac:dyDescent="0.3">
      <c r="B5" s="626" t="s">
        <v>121</v>
      </c>
      <c r="C5" s="627"/>
      <c r="D5" s="26"/>
      <c r="E5" s="21"/>
      <c r="F5" s="21"/>
      <c r="G5" s="94"/>
    </row>
    <row r="6" spans="2:11" ht="20.25" customHeight="1" x14ac:dyDescent="0.3">
      <c r="B6" s="538" t="s">
        <v>122</v>
      </c>
      <c r="C6" s="539"/>
      <c r="D6" s="27"/>
      <c r="E6" s="25"/>
      <c r="F6" s="25"/>
      <c r="G6" s="95"/>
    </row>
    <row r="7" spans="2:11" ht="20.25" customHeight="1" x14ac:dyDescent="0.3">
      <c r="B7" s="626" t="s">
        <v>120</v>
      </c>
      <c r="C7" s="627"/>
      <c r="D7" s="26"/>
      <c r="E7" s="21"/>
      <c r="F7" s="21"/>
      <c r="G7" s="94"/>
    </row>
    <row r="8" spans="2:11" ht="20.25" customHeight="1" x14ac:dyDescent="0.3">
      <c r="B8" s="538" t="s">
        <v>16</v>
      </c>
      <c r="C8" s="539"/>
      <c r="D8" s="26"/>
      <c r="E8" s="21"/>
      <c r="F8" s="21"/>
      <c r="G8" s="94"/>
    </row>
    <row r="9" spans="2:11" ht="20.25" customHeight="1" x14ac:dyDescent="0.3">
      <c r="B9" s="536" t="s">
        <v>17</v>
      </c>
      <c r="C9" s="537"/>
      <c r="D9" s="27"/>
      <c r="E9" s="25"/>
      <c r="F9" s="25"/>
      <c r="G9" s="95"/>
    </row>
    <row r="10" spans="2:11" ht="20.25" customHeight="1" x14ac:dyDescent="0.3">
      <c r="B10" s="538" t="s">
        <v>30</v>
      </c>
      <c r="C10" s="539"/>
      <c r="D10" s="26"/>
      <c r="E10" s="21"/>
      <c r="F10" s="21"/>
      <c r="G10" s="94"/>
    </row>
    <row r="11" spans="2:11" ht="20.25" customHeight="1" x14ac:dyDescent="0.3">
      <c r="B11" s="536" t="s">
        <v>32</v>
      </c>
      <c r="C11" s="537"/>
      <c r="D11" s="27"/>
      <c r="E11" s="25"/>
      <c r="F11" s="25"/>
      <c r="G11" s="95"/>
    </row>
    <row r="12" spans="2:11" ht="20.25" customHeight="1" x14ac:dyDescent="0.3">
      <c r="B12" s="538" t="s">
        <v>34</v>
      </c>
      <c r="C12" s="539"/>
      <c r="D12" s="26"/>
      <c r="E12" s="21"/>
      <c r="F12" s="21"/>
      <c r="G12" s="94"/>
    </row>
    <row r="13" spans="2:11" ht="20.25" customHeight="1" x14ac:dyDescent="0.3">
      <c r="B13" s="536" t="s">
        <v>36</v>
      </c>
      <c r="C13" s="537"/>
      <c r="D13" s="27"/>
      <c r="E13" s="25"/>
      <c r="F13" s="25"/>
      <c r="G13" s="95"/>
    </row>
    <row r="14" spans="2:11" ht="20.25" customHeight="1" x14ac:dyDescent="0.3">
      <c r="B14" s="538" t="s">
        <v>20</v>
      </c>
      <c r="C14" s="539"/>
      <c r="D14" s="26"/>
      <c r="E14" s="21"/>
      <c r="F14" s="21"/>
      <c r="G14" s="94"/>
    </row>
    <row r="15" spans="2:11" ht="20.25" customHeight="1" x14ac:dyDescent="0.3">
      <c r="B15" s="536" t="s">
        <v>19</v>
      </c>
      <c r="C15" s="537"/>
      <c r="D15" s="27"/>
      <c r="E15" s="25"/>
      <c r="F15" s="25"/>
      <c r="G15" s="95"/>
    </row>
    <row r="16" spans="2:11" ht="20.25" customHeight="1" x14ac:dyDescent="0.3">
      <c r="B16" s="538" t="s">
        <v>21</v>
      </c>
      <c r="C16" s="539"/>
      <c r="D16" s="26"/>
      <c r="E16" s="21"/>
      <c r="F16" s="21"/>
      <c r="G16" s="94"/>
    </row>
    <row r="17" spans="2:7" ht="20.25" customHeight="1" x14ac:dyDescent="0.3">
      <c r="B17" s="536" t="s">
        <v>22</v>
      </c>
      <c r="C17" s="537"/>
      <c r="D17" s="27"/>
      <c r="E17" s="25"/>
      <c r="F17" s="25"/>
      <c r="G17" s="95"/>
    </row>
    <row r="18" spans="2:7" ht="20.25" customHeight="1" x14ac:dyDescent="0.3">
      <c r="B18" s="538" t="s">
        <v>23</v>
      </c>
      <c r="C18" s="539"/>
      <c r="D18" s="26"/>
      <c r="E18" s="21"/>
      <c r="F18" s="21"/>
      <c r="G18" s="94"/>
    </row>
    <row r="19" spans="2:7" ht="20.25" customHeight="1" x14ac:dyDescent="0.3">
      <c r="B19" s="536" t="s">
        <v>24</v>
      </c>
      <c r="C19" s="537"/>
      <c r="D19" s="27"/>
      <c r="E19" s="25"/>
      <c r="F19" s="25"/>
      <c r="G19" s="95"/>
    </row>
    <row r="20" spans="2:7" ht="20.25" customHeight="1" x14ac:dyDescent="0.3">
      <c r="B20" s="538" t="s">
        <v>25</v>
      </c>
      <c r="C20" s="539"/>
      <c r="D20" s="26"/>
      <c r="E20" s="21"/>
      <c r="F20" s="21"/>
      <c r="G20" s="94"/>
    </row>
    <row r="21" spans="2:7" ht="20.25" hidden="1" customHeight="1" x14ac:dyDescent="0.3">
      <c r="B21" s="536" t="s">
        <v>49</v>
      </c>
      <c r="C21" s="537"/>
      <c r="D21" s="27" t="str" cm="1">
        <f t="array" ref="D21">IFERROR(INDEX(LG번이구매가,MATCH(1,(LG요금제=$D$3)*(LG모델명=$B21),0)),"")</f>
        <v/>
      </c>
      <c r="E21" s="25" t="str" cm="1">
        <f t="array" ref="E21">IFERROR(INDEX(LG기변구매가,MATCH(1,(LG요금제=$D$3)*(LG모델명=$B21),0)),"")</f>
        <v/>
      </c>
      <c r="F21" s="25" t="str" cm="1">
        <f t="array" ref="F21">IFERROR(INDEX(LG번이구매가,MATCH(1,(LG요금제=$F$3)*(LG모델명=$B21),0)),"")</f>
        <v/>
      </c>
      <c r="G21" s="95" t="str" cm="1">
        <f t="array" ref="G21">IFERROR(INDEX(LG기변구매가,MATCH(1,(LG요금제=$F$3)*(LG모델명=$B21),0)),"")</f>
        <v/>
      </c>
    </row>
    <row r="22" spans="2:7" ht="20.25" hidden="1" customHeight="1" x14ac:dyDescent="0.3">
      <c r="B22" s="538"/>
      <c r="C22" s="539"/>
      <c r="D22" s="26" t="str" cm="1">
        <f t="array" ref="D22">IFERROR(INDEX(LG번이구매가,MATCH(1,(LG요금제=$D$3)*(LG모델명=$B22),0)),"")</f>
        <v/>
      </c>
      <c r="E22" s="21" t="str" cm="1">
        <f t="array" ref="E22">IFERROR(INDEX(LG기변구매가,MATCH(1,(LG요금제=$D$3)*(LG모델명=$B22),0)),"")</f>
        <v/>
      </c>
      <c r="F22" s="21" t="str" cm="1">
        <f t="array" ref="F22">IFERROR(INDEX(LG번이구매가,MATCH(1,(LG요금제=$F$3)*(LG모델명=$B22),0)),"")</f>
        <v/>
      </c>
      <c r="G22" s="94" t="str" cm="1">
        <f t="array" ref="G22">IFERROR(INDEX(LG기변구매가,MATCH(1,(LG요금제=$F$3)*(LG모델명=$B22),0)),"")</f>
        <v/>
      </c>
    </row>
    <row r="23" spans="2:7" ht="20.25" hidden="1" customHeight="1" x14ac:dyDescent="0.3">
      <c r="B23" s="536"/>
      <c r="C23" s="537"/>
      <c r="D23" s="27" t="str" cm="1">
        <f t="array" ref="D23">IFERROR(INDEX(LG번이구매가,MATCH(1,(LG요금제=$D$3)*(LG모델명=$B23),0)),"")</f>
        <v/>
      </c>
      <c r="E23" s="25" t="str" cm="1">
        <f t="array" ref="E23">IFERROR(INDEX(LG기변구매가,MATCH(1,(LG요금제=$D$3)*(LG모델명=$B23),0)),"")</f>
        <v/>
      </c>
      <c r="F23" s="25" t="str" cm="1">
        <f t="array" ref="F23">IFERROR(INDEX(LG번이구매가,MATCH(1,(LG요금제=$F$3)*(LG모델명=$B23),0)),"")</f>
        <v/>
      </c>
      <c r="G23" s="95" t="str" cm="1">
        <f t="array" ref="G23">IFERROR(INDEX(LG기변구매가,MATCH(1,(LG요금제=$F$3)*(LG모델명=$B23),0)),"")</f>
        <v/>
      </c>
    </row>
    <row r="24" spans="2:7" ht="20.25" hidden="1" customHeight="1" x14ac:dyDescent="0.3">
      <c r="B24" s="538"/>
      <c r="C24" s="539"/>
      <c r="D24" s="26" t="str" cm="1">
        <f t="array" ref="D24">IFERROR(INDEX(LG번이구매가,MATCH(1,(LG요금제=$D$3)*(LG모델명=$B24),0)),"")</f>
        <v/>
      </c>
      <c r="E24" s="21" t="str" cm="1">
        <f t="array" ref="E24">IFERROR(INDEX(LG기변구매가,MATCH(1,(LG요금제=$D$3)*(LG모델명=$B24),0)),"")</f>
        <v/>
      </c>
      <c r="F24" s="21" t="str" cm="1">
        <f t="array" ref="F24">IFERROR(INDEX(LG번이구매가,MATCH(1,(LG요금제=$F$3)*(LG모델명=$B24),0)),"")</f>
        <v/>
      </c>
      <c r="G24" s="94" t="str" cm="1">
        <f t="array" ref="G24">IFERROR(INDEX(LG기변구매가,MATCH(1,(LG요금제=$F$3)*(LG모델명=$B24),0)),"")</f>
        <v/>
      </c>
    </row>
    <row r="25" spans="2:7" ht="20.25" hidden="1" customHeight="1" x14ac:dyDescent="0.3">
      <c r="B25" s="536"/>
      <c r="C25" s="537"/>
      <c r="D25" s="27" t="str" cm="1">
        <f t="array" ref="D25">IFERROR(INDEX(LG번이구매가,MATCH(1,(LG요금제=$D$3)*(LG모델명=$B25),0)),"")</f>
        <v/>
      </c>
      <c r="E25" s="25" t="str" cm="1">
        <f t="array" ref="E25">IFERROR(INDEX(LG기변구매가,MATCH(1,(LG요금제=$D$3)*(LG모델명=$B25),0)),"")</f>
        <v/>
      </c>
      <c r="F25" s="25" t="str" cm="1">
        <f t="array" ref="F25">IFERROR(INDEX(LG번이구매가,MATCH(1,(LG요금제=$F$3)*(LG모델명=$B25),0)),"")</f>
        <v/>
      </c>
      <c r="G25" s="95" t="str" cm="1">
        <f t="array" ref="G25">IFERROR(INDEX(LG기변구매가,MATCH(1,(LG요금제=$F$3)*(LG모델명=$B25),0)),"")</f>
        <v/>
      </c>
    </row>
    <row r="26" spans="2:7" ht="20.25" hidden="1" customHeight="1" x14ac:dyDescent="0.3">
      <c r="B26" s="538"/>
      <c r="C26" s="539"/>
      <c r="D26" s="26" t="str" cm="1">
        <f t="array" ref="D26">IFERROR(INDEX(LG번이구매가,MATCH(1,(LG요금제=$D$3)*(LG모델명=$B26),0)),"")</f>
        <v/>
      </c>
      <c r="E26" s="21" t="str" cm="1">
        <f t="array" ref="E26">IFERROR(INDEX(LG기변구매가,MATCH(1,(LG요금제=$D$3)*(LG모델명=$B26),0)),"")</f>
        <v/>
      </c>
      <c r="F26" s="21" t="str" cm="1">
        <f t="array" ref="F26">IFERROR(INDEX(LG번이구매가,MATCH(1,(LG요금제=$F$3)*(LG모델명=$B26),0)),"")</f>
        <v/>
      </c>
      <c r="G26" s="94" t="str" cm="1">
        <f t="array" ref="G26">IFERROR(INDEX(LG기변구매가,MATCH(1,(LG요금제=$F$3)*(LG모델명=$B26),0)),"")</f>
        <v/>
      </c>
    </row>
    <row r="27" spans="2:7" ht="20.25" hidden="1" customHeight="1" x14ac:dyDescent="0.3">
      <c r="B27" s="536"/>
      <c r="C27" s="537"/>
      <c r="D27" s="27" t="str" cm="1">
        <f t="array" ref="D27">IFERROR(INDEX(LG번이구매가,MATCH(1,(LG요금제=$D$3)*(LG모델명=$B27),0)),"")</f>
        <v/>
      </c>
      <c r="E27" s="25" t="str" cm="1">
        <f t="array" ref="E27">IFERROR(INDEX(LG기변구매가,MATCH(1,(LG요금제=$D$3)*(LG모델명=$B27),0)),"")</f>
        <v/>
      </c>
      <c r="F27" s="25" t="str" cm="1">
        <f t="array" ref="F27">IFERROR(INDEX(LG번이구매가,MATCH(1,(LG요금제=$F$3)*(LG모델명=$B27),0)),"")</f>
        <v/>
      </c>
      <c r="G27" s="95" t="str" cm="1">
        <f t="array" ref="G27">IFERROR(INDEX(LG기변구매가,MATCH(1,(LG요금제=$F$3)*(LG모델명=$B27),0)),"")</f>
        <v/>
      </c>
    </row>
    <row r="28" spans="2:7" ht="20.25" hidden="1" customHeight="1" x14ac:dyDescent="0.3">
      <c r="B28" s="538"/>
      <c r="C28" s="539"/>
      <c r="D28" s="26" t="str" cm="1">
        <f t="array" ref="D28">IFERROR(INDEX(LG번이구매가,MATCH(1,(LG요금제=$D$3)*(LG모델명=$B28),0)),"")</f>
        <v/>
      </c>
      <c r="E28" s="21" t="str" cm="1">
        <f t="array" ref="E28">IFERROR(INDEX(LG기변구매가,MATCH(1,(LG요금제=$D$3)*(LG모델명=$B28),0)),"")</f>
        <v/>
      </c>
      <c r="F28" s="21" t="str" cm="1">
        <f t="array" ref="F28">IFERROR(INDEX(LG번이구매가,MATCH(1,(LG요금제=$F$3)*(LG모델명=$B28),0)),"")</f>
        <v/>
      </c>
      <c r="G28" s="94" t="str" cm="1">
        <f t="array" ref="G28">IFERROR(INDEX(LG기변구매가,MATCH(1,(LG요금제=$F$3)*(LG모델명=$B28),0)),"")</f>
        <v/>
      </c>
    </row>
    <row r="29" spans="2:7" ht="20.25" hidden="1" customHeight="1" x14ac:dyDescent="0.3">
      <c r="B29" s="536"/>
      <c r="C29" s="537"/>
      <c r="D29" s="27" t="str" cm="1">
        <f t="array" ref="D29">IFERROR(INDEX(LG번이구매가,MATCH(1,(LG요금제=$D$3)*(LG모델명=$B29),0)),"")</f>
        <v/>
      </c>
      <c r="E29" s="25" t="str" cm="1">
        <f t="array" ref="E29">IFERROR(INDEX(LG기변구매가,MATCH(1,(LG요금제=$D$3)*(LG모델명=$B29),0)),"")</f>
        <v/>
      </c>
      <c r="F29" s="25" t="str" cm="1">
        <f t="array" ref="F29">IFERROR(INDEX(LG번이구매가,MATCH(1,(LG요금제=$F$3)*(LG모델명=$B29),0)),"")</f>
        <v/>
      </c>
      <c r="G29" s="95" t="str" cm="1">
        <f t="array" ref="G29">IFERROR(INDEX(LG기변구매가,MATCH(1,(LG요금제=$F$3)*(LG모델명=$B29),0)),"")</f>
        <v/>
      </c>
    </row>
    <row r="30" spans="2:7" ht="20.25" hidden="1" customHeight="1" x14ac:dyDescent="0.3">
      <c r="B30" s="538"/>
      <c r="C30" s="539"/>
      <c r="D30" s="26" t="str" cm="1">
        <f t="array" ref="D30">IFERROR(INDEX(LG번이구매가,MATCH(1,(LG요금제=$D$3)*(LG모델명=$B30),0)),"")</f>
        <v/>
      </c>
      <c r="E30" s="21" t="str" cm="1">
        <f t="array" ref="E30">IFERROR(INDEX(LG기변구매가,MATCH(1,(LG요금제=$D$3)*(LG모델명=$B30),0)),"")</f>
        <v/>
      </c>
      <c r="F30" s="21" t="str" cm="1">
        <f t="array" ref="F30">IFERROR(INDEX(LG번이구매가,MATCH(1,(LG요금제=$F$3)*(LG모델명=$B30),0)),"")</f>
        <v/>
      </c>
      <c r="G30" s="94" t="str" cm="1">
        <f t="array" ref="G30">IFERROR(INDEX(LG기변구매가,MATCH(1,(LG요금제=$F$3)*(LG모델명=$B30),0)),"")</f>
        <v/>
      </c>
    </row>
    <row r="31" spans="2:7" ht="20.25" hidden="1" customHeight="1" x14ac:dyDescent="0.3">
      <c r="B31" s="536"/>
      <c r="C31" s="537"/>
      <c r="D31" s="27" t="str" cm="1">
        <f t="array" ref="D31">IFERROR(INDEX(LG번이구매가,MATCH(1,(LG요금제=$D$3)*(LG모델명=$B31),0)),"")</f>
        <v/>
      </c>
      <c r="E31" s="25" t="str" cm="1">
        <f t="array" ref="E31">IFERROR(INDEX(LG기변구매가,MATCH(1,(LG요금제=$D$3)*(LG모델명=$B31),0)),"")</f>
        <v/>
      </c>
      <c r="F31" s="25" t="str" cm="1">
        <f t="array" ref="F31">IFERROR(INDEX(LG번이구매가,MATCH(1,(LG요금제=$F$3)*(LG모델명=$B31),0)),"")</f>
        <v/>
      </c>
      <c r="G31" s="95" t="str" cm="1">
        <f t="array" ref="G31">IFERROR(INDEX(LG기변구매가,MATCH(1,(LG요금제=$F$3)*(LG모델명=$B31),0)),"")</f>
        <v/>
      </c>
    </row>
    <row r="32" spans="2:7" ht="20.25" hidden="1" customHeight="1" x14ac:dyDescent="0.3">
      <c r="B32" s="538"/>
      <c r="C32" s="539"/>
      <c r="D32" s="26" t="str" cm="1">
        <f t="array" ref="D32">IFERROR(INDEX(LG번이구매가,MATCH(1,(LG요금제=$D$3)*(LG모델명=$B32),0)),"")</f>
        <v/>
      </c>
      <c r="E32" s="21" t="str" cm="1">
        <f t="array" ref="E32">IFERROR(INDEX(LG기변구매가,MATCH(1,(LG요금제=$D$3)*(LG모델명=$B32),0)),"")</f>
        <v/>
      </c>
      <c r="F32" s="21" t="str" cm="1">
        <f t="array" ref="F32">IFERROR(INDEX(LG번이구매가,MATCH(1,(LG요금제=$F$3)*(LG모델명=$B32),0)),"")</f>
        <v/>
      </c>
      <c r="G32" s="94" t="str" cm="1">
        <f t="array" ref="G32">IFERROR(INDEX(LG기변구매가,MATCH(1,(LG요금제=$F$3)*(LG모델명=$B32),0)),"")</f>
        <v/>
      </c>
    </row>
    <row r="33" spans="2:7" ht="20.25" hidden="1" customHeight="1" x14ac:dyDescent="0.3">
      <c r="B33" s="536"/>
      <c r="C33" s="537"/>
      <c r="D33" s="27" t="str" cm="1">
        <f t="array" ref="D33">IFERROR(INDEX(LG번이구매가,MATCH(1,(LG요금제=$D$3)*(LG모델명=$B33),0)),"")</f>
        <v/>
      </c>
      <c r="E33" s="25" t="str" cm="1">
        <f t="array" ref="E33">IFERROR(INDEX(LG기변구매가,MATCH(1,(LG요금제=$D$3)*(LG모델명=$B33),0)),"")</f>
        <v/>
      </c>
      <c r="F33" s="25" t="str" cm="1">
        <f t="array" ref="F33">IFERROR(INDEX(LG번이구매가,MATCH(1,(LG요금제=$F$3)*(LG모델명=$B33),0)),"")</f>
        <v/>
      </c>
      <c r="G33" s="95" t="str" cm="1">
        <f t="array" ref="G33">IFERROR(INDEX(LG기변구매가,MATCH(1,(LG요금제=$F$3)*(LG모델명=$B33),0)),"")</f>
        <v/>
      </c>
    </row>
    <row r="34" spans="2:7" ht="20.25" hidden="1" customHeight="1" x14ac:dyDescent="0.3">
      <c r="B34" s="538"/>
      <c r="C34" s="539"/>
      <c r="D34" s="26" t="str" cm="1">
        <f t="array" ref="D34">IFERROR(INDEX(LG번이구매가,MATCH(1,(LG요금제=$D$3)*(LG모델명=$B34),0)),"")</f>
        <v/>
      </c>
      <c r="E34" s="21" t="str" cm="1">
        <f t="array" ref="E34">IFERROR(INDEX(LG기변구매가,MATCH(1,(LG요금제=$D$3)*(LG모델명=$B34),0)),"")</f>
        <v/>
      </c>
      <c r="F34" s="21" t="str" cm="1">
        <f t="array" ref="F34">IFERROR(INDEX(LG번이구매가,MATCH(1,(LG요금제=$F$3)*(LG모델명=$B34),0)),"")</f>
        <v/>
      </c>
      <c r="G34" s="94" t="str" cm="1">
        <f t="array" ref="G34">IFERROR(INDEX(LG기변구매가,MATCH(1,(LG요금제=$F$3)*(LG모델명=$B34),0)),"")</f>
        <v/>
      </c>
    </row>
    <row r="35" spans="2:7" ht="20.25" hidden="1" customHeight="1" x14ac:dyDescent="0.3">
      <c r="B35" s="536"/>
      <c r="C35" s="537"/>
      <c r="D35" s="27" t="str" cm="1">
        <f t="array" ref="D35">IFERROR(INDEX(LG번이구매가,MATCH(1,(LG요금제=$D$3)*(LG모델명=$B35),0)),"")</f>
        <v/>
      </c>
      <c r="E35" s="25" t="str" cm="1">
        <f t="array" ref="E35">IFERROR(INDEX(LG기변구매가,MATCH(1,(LG요금제=$D$3)*(LG모델명=$B35),0)),"")</f>
        <v/>
      </c>
      <c r="F35" s="25" t="str" cm="1">
        <f t="array" ref="F35">IFERROR(INDEX(LG번이구매가,MATCH(1,(LG요금제=$F$3)*(LG모델명=$B35),0)),"")</f>
        <v/>
      </c>
      <c r="G35" s="95" t="str" cm="1">
        <f t="array" ref="G35">IFERROR(INDEX(LG기변구매가,MATCH(1,(LG요금제=$F$3)*(LG모델명=$B35),0)),"")</f>
        <v/>
      </c>
    </row>
    <row r="36" spans="2:7" ht="20.25" hidden="1" customHeight="1" x14ac:dyDescent="0.3">
      <c r="B36" s="540"/>
      <c r="C36" s="541"/>
      <c r="D36" s="96" t="str" cm="1">
        <f t="array" ref="D36">IFERROR(INDEX(LG번이구매가,MATCH(1,(LG요금제=$D$3)*(LG모델명=$B36),0)),"")</f>
        <v/>
      </c>
      <c r="E36" s="97" t="str" cm="1">
        <f t="array" ref="E36">IFERROR(INDEX(LG기변구매가,MATCH(1,(LG요금제=$D$3)*(LG모델명=$B36),0)),"")</f>
        <v/>
      </c>
      <c r="F36" s="97" t="str" cm="1">
        <f t="array" ref="F36">IFERROR(INDEX(LG번이구매가,MATCH(1,(LG요금제=$F$3)*(LG모델명=$B36),0)),"")</f>
        <v/>
      </c>
      <c r="G36" s="98" t="str" cm="1">
        <f t="array" ref="G36">IFERROR(INDEX(LG기변구매가,MATCH(1,(LG요금제=$F$3)*(LG모델명=$B36),0)),"")</f>
        <v/>
      </c>
    </row>
    <row r="37" spans="2:7" ht="24.75" customHeight="1" x14ac:dyDescent="0.3"/>
    <row r="38" spans="2:7" ht="14.25" customHeight="1" x14ac:dyDescent="0.3"/>
    <row r="39" spans="2:7" ht="27.75" customHeight="1" x14ac:dyDescent="0.3">
      <c r="B39" t="str" cm="1">
        <f t="array" ref="B39">IFERROR(INDEX(SKT번이구매가,MATCH(1,(SKT요금제=$B$7)*(SKT모델명=#REF!),0)),"")</f>
        <v/>
      </c>
      <c r="D39" t="str" cm="1">
        <f t="array" ref="D39">IFERROR(INDEX(SKT기변구매가,MATCH(1,(SKT요금제=$B$7)*(SKT모델명=#REF!),0)),"")</f>
        <v/>
      </c>
      <c r="E39" t="str" cm="1">
        <f t="array" ref="E39">IFERROR(INDEX(KT번이구매가,MATCH(1,(KT요금제=$E$7)*(KT모델명=#REF!),0)),"")</f>
        <v/>
      </c>
      <c r="F39" t="str" cm="1">
        <f t="array" ref="F39">IFERROR(INDEX(KT기변구매가,MATCH(1,(KT요금제=$E$7)*(KT모델명=#REF!),0)),"")</f>
        <v/>
      </c>
      <c r="G39" t="str" cm="1">
        <f t="array" ref="G39">IFERROR(INDEX(LG번이구매가,MATCH(1,(LG요금제=$G$7)*(LG모델명=#REF!),0)),"")</f>
        <v/>
      </c>
    </row>
    <row r="40" spans="2:7" x14ac:dyDescent="0.3">
      <c r="B40" s="79" t="s">
        <v>3</v>
      </c>
      <c r="C40" s="80" t="s">
        <v>66</v>
      </c>
      <c r="D40" s="80" t="s">
        <v>64</v>
      </c>
      <c r="E40" s="542" t="s">
        <v>67</v>
      </c>
      <c r="F40" s="553"/>
      <c r="G40" s="87" t="s">
        <v>65</v>
      </c>
    </row>
    <row r="41" spans="2:7" ht="42" customHeight="1" x14ac:dyDescent="0.3">
      <c r="B41" s="81" t="s">
        <v>123</v>
      </c>
      <c r="C41" s="23">
        <v>115000</v>
      </c>
      <c r="D41" s="22" t="s">
        <v>70</v>
      </c>
      <c r="E41" s="545" t="s">
        <v>94</v>
      </c>
      <c r="F41" s="546"/>
      <c r="G41" s="105" t="s">
        <v>68</v>
      </c>
    </row>
    <row r="42" spans="2:7" ht="42" hidden="1" customHeight="1" x14ac:dyDescent="0.3">
      <c r="B42" s="82" t="s">
        <v>73</v>
      </c>
      <c r="C42" s="32">
        <v>90000</v>
      </c>
      <c r="D42" s="33" t="s">
        <v>70</v>
      </c>
      <c r="E42" s="549" t="s">
        <v>94</v>
      </c>
      <c r="F42" s="550"/>
      <c r="G42" s="106" t="s">
        <v>68</v>
      </c>
    </row>
    <row r="43" spans="2:7" ht="42" hidden="1" customHeight="1" x14ac:dyDescent="0.3">
      <c r="B43" s="83" t="s">
        <v>74</v>
      </c>
      <c r="C43" s="84">
        <v>69000</v>
      </c>
      <c r="D43" s="85" t="s">
        <v>70</v>
      </c>
      <c r="E43" s="531" t="s">
        <v>95</v>
      </c>
      <c r="F43" s="532"/>
      <c r="G43" s="107" t="s">
        <v>75</v>
      </c>
    </row>
    <row r="44" spans="2:7" ht="23.25" customHeight="1" x14ac:dyDescent="0.3">
      <c r="B44" s="24"/>
      <c r="C44" s="24"/>
      <c r="D44" s="1"/>
      <c r="E44" s="1"/>
      <c r="F44" s="1"/>
      <c r="G44" s="1"/>
    </row>
    <row r="45" spans="2:7" ht="14.25" customHeight="1" x14ac:dyDescent="0.3"/>
    <row r="46" spans="2:7" ht="11.25" customHeight="1" x14ac:dyDescent="0.3"/>
    <row r="48" spans="2:7" x14ac:dyDescent="0.3">
      <c r="B48" s="86" t="s">
        <v>3</v>
      </c>
      <c r="C48" s="80" t="s">
        <v>66</v>
      </c>
      <c r="D48" s="80" t="s">
        <v>64</v>
      </c>
      <c r="E48" s="530" t="s">
        <v>65</v>
      </c>
      <c r="F48" s="530"/>
      <c r="G48" s="535"/>
    </row>
    <row r="49" spans="2:12" ht="34.5" customHeight="1" x14ac:dyDescent="0.3">
      <c r="B49" s="88" t="s">
        <v>133</v>
      </c>
      <c r="C49" s="113" t="s">
        <v>134</v>
      </c>
      <c r="D49" s="37" t="s">
        <v>78</v>
      </c>
      <c r="E49" s="528" t="s">
        <v>135</v>
      </c>
      <c r="F49" s="528"/>
      <c r="G49" s="529"/>
    </row>
    <row r="50" spans="2:12" ht="34.5" customHeight="1" x14ac:dyDescent="0.3">
      <c r="B50" s="108" t="s">
        <v>91</v>
      </c>
      <c r="C50" s="109">
        <v>8800</v>
      </c>
      <c r="D50" s="110" t="s">
        <v>77</v>
      </c>
      <c r="E50" s="622" t="s">
        <v>124</v>
      </c>
      <c r="F50" s="622"/>
      <c r="G50" s="623"/>
    </row>
    <row r="51" spans="2:12" ht="24.75" customHeight="1" x14ac:dyDescent="0.3"/>
    <row r="53" spans="2:12" ht="27" customHeight="1" x14ac:dyDescent="0.3">
      <c r="L53" t="s">
        <v>169</v>
      </c>
    </row>
    <row r="54" spans="2:12" x14ac:dyDescent="0.3">
      <c r="B54" s="79" t="s">
        <v>99</v>
      </c>
      <c r="C54" s="530" t="s">
        <v>104</v>
      </c>
      <c r="D54" s="530"/>
      <c r="E54" s="530" t="s">
        <v>119</v>
      </c>
      <c r="F54" s="530"/>
      <c r="G54" s="87" t="s">
        <v>118</v>
      </c>
    </row>
    <row r="55" spans="2:12" ht="39.75" customHeight="1" x14ac:dyDescent="0.3">
      <c r="B55" s="111" t="s">
        <v>162</v>
      </c>
      <c r="C55" s="620" t="s">
        <v>125</v>
      </c>
      <c r="D55" s="620"/>
      <c r="E55" s="620" t="s">
        <v>132</v>
      </c>
      <c r="F55" s="620"/>
      <c r="G55" s="103" t="s">
        <v>161</v>
      </c>
    </row>
    <row r="56" spans="2:12" ht="39.75" customHeight="1" x14ac:dyDescent="0.3">
      <c r="B56" s="112" t="s">
        <v>163</v>
      </c>
      <c r="C56" s="621" t="s">
        <v>126</v>
      </c>
      <c r="D56" s="621"/>
      <c r="E56" s="621" t="s">
        <v>131</v>
      </c>
      <c r="F56" s="621"/>
      <c r="G56" s="103" t="s">
        <v>159</v>
      </c>
    </row>
    <row r="57" spans="2:12" ht="39.75" customHeight="1" x14ac:dyDescent="0.3">
      <c r="B57" s="111" t="s">
        <v>164</v>
      </c>
      <c r="C57" s="620" t="s">
        <v>127</v>
      </c>
      <c r="D57" s="620"/>
      <c r="E57" s="620" t="s">
        <v>129</v>
      </c>
      <c r="F57" s="620"/>
      <c r="G57" s="103" t="s">
        <v>155</v>
      </c>
    </row>
    <row r="58" spans="2:12" ht="39.75" customHeight="1" x14ac:dyDescent="0.3">
      <c r="B58" s="112" t="s">
        <v>165</v>
      </c>
      <c r="C58" s="621" t="s">
        <v>128</v>
      </c>
      <c r="D58" s="621"/>
      <c r="E58" s="621" t="s">
        <v>130</v>
      </c>
      <c r="F58" s="621"/>
      <c r="G58" s="104" t="s">
        <v>156</v>
      </c>
      <c r="I58" t="s">
        <v>102</v>
      </c>
    </row>
    <row r="59" spans="2:12" ht="25.5" customHeight="1" x14ac:dyDescent="0.3">
      <c r="B59" s="616" t="s">
        <v>106</v>
      </c>
      <c r="C59" s="617"/>
      <c r="D59" s="617"/>
      <c r="E59" s="617"/>
      <c r="F59" s="617"/>
      <c r="G59" s="617"/>
    </row>
    <row r="60" spans="2:12" ht="61.5" customHeight="1" x14ac:dyDescent="0.3">
      <c r="B60" s="618" t="s">
        <v>110</v>
      </c>
      <c r="C60" s="619"/>
      <c r="D60" s="619"/>
      <c r="E60" s="619"/>
      <c r="F60" s="619"/>
      <c r="G60" s="619"/>
      <c r="H60" s="38"/>
    </row>
    <row r="61" spans="2:12" ht="24.75" customHeight="1" x14ac:dyDescent="0.3"/>
    <row r="65" spans="14:14" x14ac:dyDescent="0.3">
      <c r="N65">
        <v>7</v>
      </c>
    </row>
  </sheetData>
  <mergeCells count="54">
    <mergeCell ref="B9:C9"/>
    <mergeCell ref="B10:C10"/>
    <mergeCell ref="B11:C11"/>
    <mergeCell ref="B12:C12"/>
    <mergeCell ref="B13:C13"/>
    <mergeCell ref="B8:C8"/>
    <mergeCell ref="D3:E3"/>
    <mergeCell ref="F3:G3"/>
    <mergeCell ref="B7:C7"/>
    <mergeCell ref="B3:C4"/>
    <mergeCell ref="B5:C5"/>
    <mergeCell ref="B6:C6"/>
    <mergeCell ref="B14:C14"/>
    <mergeCell ref="B15:C15"/>
    <mergeCell ref="B16:C16"/>
    <mergeCell ref="B17:C17"/>
    <mergeCell ref="B18:C18"/>
    <mergeCell ref="B19:C19"/>
    <mergeCell ref="B32:C32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20:C20"/>
    <mergeCell ref="E40:F40"/>
    <mergeCell ref="E43:F43"/>
    <mergeCell ref="E48:G48"/>
    <mergeCell ref="B33:C33"/>
    <mergeCell ref="B34:C34"/>
    <mergeCell ref="B35:C35"/>
    <mergeCell ref="B36:C36"/>
    <mergeCell ref="E50:G50"/>
    <mergeCell ref="E49:G49"/>
    <mergeCell ref="E41:F41"/>
    <mergeCell ref="E42:F42"/>
    <mergeCell ref="C54:D54"/>
    <mergeCell ref="E54:F54"/>
    <mergeCell ref="B59:G59"/>
    <mergeCell ref="B60:G60"/>
    <mergeCell ref="C55:D55"/>
    <mergeCell ref="C56:D56"/>
    <mergeCell ref="C57:D57"/>
    <mergeCell ref="C58:D58"/>
    <mergeCell ref="E55:F55"/>
    <mergeCell ref="E56:F56"/>
    <mergeCell ref="E57:F57"/>
    <mergeCell ref="E58:F58"/>
  </mergeCells>
  <phoneticPr fontId="1" type="noConversion"/>
  <conditionalFormatting sqref="D5:G36">
    <cfRule type="expression" dxfId="0" priority="1">
      <formula>D5=""</formula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600-000000000000}">
          <x14:formula1>
            <xm:f>INDEX!$D$4:$D$18</xm:f>
          </x14:formula1>
          <xm:sqref>D3:G3</xm:sqref>
        </x14:dataValidation>
        <x14:dataValidation type="list" allowBlank="1" showInputMessage="1" showErrorMessage="1" xr:uid="{00000000-0002-0000-0600-000001000000}">
          <x14:formula1>
            <xm:f>_xlfn.ANCHORARRAY(INDEX!#REF!)</xm:f>
          </x14:formula1>
          <xm:sqref>B5:B36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 지정된 범위</vt:lpstr>
      </vt:variant>
      <vt:variant>
        <vt:i4>12</vt:i4>
      </vt:variant>
    </vt:vector>
  </HeadingPairs>
  <TitlesOfParts>
    <vt:vector size="19" baseType="lpstr">
      <vt:lpstr>3사 통합</vt:lpstr>
      <vt:lpstr>폰스팟 인터넷 시세표</vt:lpstr>
      <vt:lpstr>ADMIN</vt:lpstr>
      <vt:lpstr>INDEX</vt:lpstr>
      <vt:lpstr>SKT</vt:lpstr>
      <vt:lpstr>KT</vt:lpstr>
      <vt:lpstr>U+</vt:lpstr>
      <vt:lpstr>KT기변구매가</vt:lpstr>
      <vt:lpstr>KT모델명</vt:lpstr>
      <vt:lpstr>KT번이구매가</vt:lpstr>
      <vt:lpstr>KT요금제</vt:lpstr>
      <vt:lpstr>LG기변구매가</vt:lpstr>
      <vt:lpstr>LG모델명</vt:lpstr>
      <vt:lpstr>LG번이구매가</vt:lpstr>
      <vt:lpstr>LG요금제</vt:lpstr>
      <vt:lpstr>SKT기변구매가</vt:lpstr>
      <vt:lpstr>SKT모델명</vt:lpstr>
      <vt:lpstr>SKT번이구매가</vt:lpstr>
      <vt:lpstr>SKT요금제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현재 이</dc:creator>
  <cp:lastModifiedBy>PL_3</cp:lastModifiedBy>
  <dcterms:created xsi:type="dcterms:W3CDTF">2025-06-25T09:27:53Z</dcterms:created>
  <dcterms:modified xsi:type="dcterms:W3CDTF">2026-06-25T02:11:55Z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916b3c47-6777-44f3-8d5a-3ca93dc64ecf</vt:lpwstr>
  </property>
</Properties>
</file>